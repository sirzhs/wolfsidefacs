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CÇÕES" sheetId="1" r:id="rId5"/>
    <sheet state="hidden" name="SETFAC+LIDER+ID" sheetId="2" r:id="rId6"/>
    <sheet state="hidden" name="RÁDIO" sheetId="3" r:id="rId7"/>
    <sheet state="visible" name="FACÇÕES NO GERAL" sheetId="4" r:id="rId8"/>
    <sheet state="visible" name="LEGIÃO BLACK" sheetId="5" r:id="rId9"/>
    <sheet state="visible" name="CAMPINHO" sheetId="6" r:id="rId10"/>
    <sheet state="visible" name="GRÉCIA" sheetId="7" r:id="rId11"/>
    <sheet state="visible" name="ROSAS" sheetId="8" r:id="rId12"/>
    <sheet state="visible" name="JAPÃO" sheetId="9" r:id="rId13"/>
    <sheet state="visible" name="ARGENTINA " sheetId="10" r:id="rId14"/>
    <sheet state="visible" name="AZUIS" sheetId="11" r:id="rId15"/>
    <sheet state="visible" name="RUSSIA" sheetId="12" r:id="rId16"/>
    <sheet state="visible" name="FRANÇA" sheetId="13" r:id="rId17"/>
    <sheet state="visible" name="PEDREIRA" sheetId="14" r:id="rId18"/>
    <sheet state="visible" name="ITÁLIA" sheetId="15" r:id="rId19"/>
    <sheet state="visible" name="PALAZZO" sheetId="16" r:id="rId20"/>
    <sheet state="visible" name="NOXUS" sheetId="17" r:id="rId21"/>
    <sheet state="visible" name="GRINGA" sheetId="18" r:id="rId22"/>
    <sheet state="visible" name="ROXOS " sheetId="19" r:id="rId23"/>
    <sheet state="visible" name="TROPA DO TWIZZY" sheetId="20" r:id="rId24"/>
    <sheet state="visible" name="TRALHAS" sheetId="21" r:id="rId25"/>
    <sheet state="visible" name="MORRO SANTÃO " sheetId="22" r:id="rId26"/>
    <sheet state="visible" name="EGITO " sheetId="23" r:id="rId27"/>
    <sheet state="visible" name="CANADA" sheetId="24" r:id="rId28"/>
    <sheet state="visible" name="COREIA " sheetId="25" r:id="rId29"/>
    <sheet state="visible" name="BERLIM " sheetId="26" r:id="rId30"/>
    <sheet state="visible" name="LARANJAS " sheetId="27" r:id="rId31"/>
    <sheet state="visible" name="HOLLYWOOD " sheetId="28" r:id="rId32"/>
    <sheet state="visible" name="ESPANHA " sheetId="29" r:id="rId33"/>
    <sheet state="visible" name="MEDELLIN" sheetId="30" r:id="rId34"/>
    <sheet state="visible" name="COLÔMBIA" sheetId="31" r:id="rId35"/>
    <sheet state="visible" name="PCJ " sheetId="32" r:id="rId36"/>
    <sheet state="visible" name="BENNYS" sheetId="33" r:id="rId37"/>
    <sheet state="visible" name="BANZAS" sheetId="34" r:id="rId38"/>
    <sheet state="visible" name="MOSCOU " sheetId="35" r:id="rId39"/>
    <sheet state="visible" name="PORTUGAL " sheetId="36" r:id="rId40"/>
    <sheet state="visible" name="SINALOA " sheetId="37" r:id="rId41"/>
    <sheet state="visible" name="BROOKLYN " sheetId="38" r:id="rId42"/>
    <sheet state="visible" name="GROVE" sheetId="39" r:id="rId43"/>
    <sheet state="visible" name="CHERNOBYL " sheetId="40" r:id="rId44"/>
    <sheet state="visible" name="FAZENDINHA" sheetId="41" r:id="rId45"/>
    <sheet state="visible" name="REDLINE " sheetId="42" r:id="rId46"/>
    <sheet state="visible" name="SUIÇA" sheetId="43" r:id="rId47"/>
    <sheet state="visible" name="TEQUILAS " sheetId="44" r:id="rId48"/>
    <sheet state="visible" name="CROACIA " sheetId="45" r:id="rId49"/>
    <sheet state="visible" name="CAPELINHA " sheetId="46" r:id="rId50"/>
    <sheet state="visible" name="DUBAI" sheetId="47" r:id="rId51"/>
    <sheet state="visible" name="ALEMANHA " sheetId="48" r:id="rId52"/>
    <sheet state="visible" name="CALIFORNIA " sheetId="49" r:id="rId53"/>
    <sheet state="visible" name="YAKUZA" sheetId="50" r:id="rId54"/>
    <sheet state="hidden" name="00 REMOVIDOS" sheetId="51" r:id="rId55"/>
  </sheets>
  <definedNames>
    <definedName hidden="1" localSheetId="1" name="_xlnm._FilterDatabase">'SETFAC+LIDER+ID'!$A$5:$J$50</definedName>
    <definedName hidden="1" localSheetId="3" name="_xlnm._FilterDatabase">'FACÇÕES NO GERAL'!$A$3:$F$49</definedName>
  </definedNames>
  <calcPr/>
</workbook>
</file>

<file path=xl/sharedStrings.xml><?xml version="1.0" encoding="utf-8"?>
<sst xmlns="http://schemas.openxmlformats.org/spreadsheetml/2006/main" count="3569" uniqueCount="1163">
  <si>
    <t>SETOR</t>
  </si>
  <si>
    <t>FAC ENTREGUE</t>
  </si>
  <si>
    <t>FAC LIVRE</t>
  </si>
  <si>
    <t>FACÇÃO</t>
  </si>
  <si>
    <t>NOME DO SET</t>
  </si>
  <si>
    <t>NOME DO 00</t>
  </si>
  <si>
    <t>ID DISCORD</t>
  </si>
  <si>
    <t>ID</t>
  </si>
  <si>
    <t>STATUS</t>
  </si>
  <si>
    <t>CDS</t>
  </si>
  <si>
    <t>DISCORD</t>
  </si>
  <si>
    <t>KIT INICIAL</t>
  </si>
  <si>
    <t>LAVAGEM</t>
  </si>
  <si>
    <t>LEGIÃO BÉLICA</t>
  </si>
  <si>
    <t>Palazzo</t>
  </si>
  <si>
    <t>LIVRE</t>
  </si>
  <si>
    <t>VANILLA</t>
  </si>
  <si>
    <t>Putaria</t>
  </si>
  <si>
    <t>JEAN CARLOS</t>
  </si>
  <si>
    <t>918295197522210846</t>
  </si>
  <si>
    <t>ok</t>
  </si>
  <si>
    <t>ENTREGUE</t>
  </si>
  <si>
    <t>arma</t>
  </si>
  <si>
    <t>METGALA</t>
  </si>
  <si>
    <t>Metgala</t>
  </si>
  <si>
    <t>FACADA VIOLENTA</t>
  </si>
  <si>
    <t>351051850365272067</t>
  </si>
  <si>
    <t>OVERLORDS</t>
  </si>
  <si>
    <t>Ballas</t>
  </si>
  <si>
    <t>Araujo</t>
  </si>
  <si>
    <t>1387517269567078424</t>
  </si>
  <si>
    <t>muniçao</t>
  </si>
  <si>
    <t>LUXOR DYBECK</t>
  </si>
  <si>
    <t>Luxor</t>
  </si>
  <si>
    <t>Gringo</t>
  </si>
  <si>
    <t>1174902324808912938</t>
  </si>
  <si>
    <t>1051 - 01 da fac</t>
  </si>
  <si>
    <t>lavagem</t>
  </si>
  <si>
    <t>GUETO</t>
  </si>
  <si>
    <t>Lavajato</t>
  </si>
  <si>
    <t>Psico Terror</t>
  </si>
  <si>
    <t>1383522231690334278</t>
  </si>
  <si>
    <t>Arma</t>
  </si>
  <si>
    <t>CASA DAS PRIMA</t>
  </si>
  <si>
    <t>Gang1</t>
  </si>
  <si>
    <t>Vênus Stars</t>
  </si>
  <si>
    <t>1214792692907905030</t>
  </si>
  <si>
    <t>AGUARDANDO</t>
  </si>
  <si>
    <t>Lavagem</t>
  </si>
  <si>
    <t>REDLINE</t>
  </si>
  <si>
    <t>Redline</t>
  </si>
  <si>
    <t>Maycon</t>
  </si>
  <si>
    <t>1270405952566333482</t>
  </si>
  <si>
    <t>ALCATEIA</t>
  </si>
  <si>
    <t>Arcade</t>
  </si>
  <si>
    <t>Lobão</t>
  </si>
  <si>
    <t>1246646355859083350</t>
  </si>
  <si>
    <t>BELLAGIO</t>
  </si>
  <si>
    <t>Bellagio</t>
  </si>
  <si>
    <t>Bia</t>
  </si>
  <si>
    <t>1003428495105478796</t>
  </si>
  <si>
    <t>Muniçao</t>
  </si>
  <si>
    <t>TEQUILAS</t>
  </si>
  <si>
    <t>Tequilas</t>
  </si>
  <si>
    <t>Finin</t>
  </si>
  <si>
    <t>1386466111754862682</t>
  </si>
  <si>
    <t>DESMANCHE</t>
  </si>
  <si>
    <t>OVERDRIVE</t>
  </si>
  <si>
    <t>Overdrive</t>
  </si>
  <si>
    <t>Pedro</t>
  </si>
  <si>
    <t>699055664692985887</t>
  </si>
  <si>
    <t>meta</t>
  </si>
  <si>
    <t>CARCLUBE</t>
  </si>
  <si>
    <t>CarClube</t>
  </si>
  <si>
    <t>Zl Junior</t>
  </si>
  <si>
    <t>766721988852711456</t>
  </si>
  <si>
    <t>REAL ÓDIO</t>
  </si>
  <si>
    <t>Campinho</t>
  </si>
  <si>
    <t>MAX RLQ</t>
  </si>
  <si>
    <t>1332761200223719477</t>
  </si>
  <si>
    <t>Desmanche</t>
  </si>
  <si>
    <t>ARGENTINA</t>
  </si>
  <si>
    <t>Bennys</t>
  </si>
  <si>
    <t>Beto</t>
  </si>
  <si>
    <t>1405367431215579169</t>
  </si>
  <si>
    <t>GROOVE</t>
  </si>
  <si>
    <t>Groove</t>
  </si>
  <si>
    <t>Jhon spp</t>
  </si>
  <si>
    <t>1328866522625736826</t>
  </si>
  <si>
    <t>KRAKEN</t>
  </si>
  <si>
    <t>Kraken</t>
  </si>
  <si>
    <t>Berto</t>
  </si>
  <si>
    <t>621599648548782081</t>
  </si>
  <si>
    <t>TROPA DO 7</t>
  </si>
  <si>
    <t>Virtude</t>
  </si>
  <si>
    <t>Barbie do Crime</t>
  </si>
  <si>
    <t>1299881596073152536</t>
  </si>
  <si>
    <t>Munição</t>
  </si>
  <si>
    <t>FERRO VELHO</t>
  </si>
  <si>
    <t>Turquia</t>
  </si>
  <si>
    <t xml:space="preserve"> Tom</t>
  </si>
  <si>
    <t>523650719270567936</t>
  </si>
  <si>
    <t>BIG</t>
  </si>
  <si>
    <t>Big</t>
  </si>
  <si>
    <t>Rato</t>
  </si>
  <si>
    <t>1065454330368507954</t>
  </si>
  <si>
    <t>DRIFTKING</t>
  </si>
  <si>
    <t>DriftKing</t>
  </si>
  <si>
    <t>Revoltz Bala</t>
  </si>
  <si>
    <t>1389605304748085319</t>
  </si>
  <si>
    <t>Coca</t>
  </si>
  <si>
    <t>THE HOUSE</t>
  </si>
  <si>
    <t>Outlaws</t>
  </si>
  <si>
    <t>Lacasa</t>
  </si>
  <si>
    <t>997376353244561468</t>
  </si>
  <si>
    <t>1280 / 01 da fac</t>
  </si>
  <si>
    <t>META</t>
  </si>
  <si>
    <t>P.C.J</t>
  </si>
  <si>
    <t>Vagos</t>
  </si>
  <si>
    <t xml:space="preserve">Mirella </t>
  </si>
  <si>
    <t>539116399839412224</t>
  </si>
  <si>
    <t>ARCANOS</t>
  </si>
  <si>
    <t>Amarelos</t>
  </si>
  <si>
    <t>Gago</t>
  </si>
  <si>
    <t>1167622601334587447</t>
  </si>
  <si>
    <t>FILHOS DA NOITE</t>
  </si>
  <si>
    <t>Pinkmans</t>
  </si>
  <si>
    <t>Dz</t>
  </si>
  <si>
    <t>1374074490992197722</t>
  </si>
  <si>
    <t>HOLLYWOOD</t>
  </si>
  <si>
    <t>Hollywood</t>
  </si>
  <si>
    <t>Wenny</t>
  </si>
  <si>
    <t>635953008991272980</t>
  </si>
  <si>
    <t>VESTIGE</t>
  </si>
  <si>
    <t>Umbrella</t>
  </si>
  <si>
    <t>Malvadao</t>
  </si>
  <si>
    <t>1384416271059124329</t>
  </si>
  <si>
    <t>IMPÉRIO</t>
  </si>
  <si>
    <t>Afetados</t>
  </si>
  <si>
    <t>PAYKES IMPERATOR</t>
  </si>
  <si>
    <t>541714623167070218</t>
  </si>
  <si>
    <t>Meta</t>
  </si>
  <si>
    <t>COCA</t>
  </si>
  <si>
    <t>VIDIGAL</t>
  </si>
  <si>
    <t>Gang9</t>
  </si>
  <si>
    <t>Chico</t>
  </si>
  <si>
    <t>571475909157060621</t>
  </si>
  <si>
    <t>ROSAS</t>
  </si>
  <si>
    <t>Rosas</t>
  </si>
  <si>
    <t>CANELA MATSUNAGA CARTER</t>
  </si>
  <si>
    <t>774346740173242368</t>
  </si>
  <si>
    <t>BRANCOS</t>
  </si>
  <si>
    <t>Brancos</t>
  </si>
  <si>
    <t>KAMIKAZE DIVINO</t>
  </si>
  <si>
    <t>1339015292277227664</t>
  </si>
  <si>
    <t>FAZENDA MAGNATA</t>
  </si>
  <si>
    <t>Roxos</t>
  </si>
  <si>
    <t>LUAN MAGNATAS</t>
  </si>
  <si>
    <t>1230971047918960652</t>
  </si>
  <si>
    <t>NOVAERA</t>
  </si>
  <si>
    <t>Vermelhos</t>
  </si>
  <si>
    <t>ALEX FERRARI</t>
  </si>
  <si>
    <t>1332789257596702803</t>
  </si>
  <si>
    <t>REAL YUKI</t>
  </si>
  <si>
    <t>Verdes</t>
  </si>
  <si>
    <t>REAL DREZZA TOLEDO</t>
  </si>
  <si>
    <t>1231702357419495456</t>
  </si>
  <si>
    <t>BERLIM</t>
  </si>
  <si>
    <t>LosAztecas</t>
  </si>
  <si>
    <t>FARIAS WHITE</t>
  </si>
  <si>
    <t>396540521671163905</t>
  </si>
  <si>
    <t>BASEADO</t>
  </si>
  <si>
    <t>BANZAS</t>
  </si>
  <si>
    <t>Banzas</t>
  </si>
  <si>
    <t>Baseado</t>
  </si>
  <si>
    <t>OS TRALHAS</t>
  </si>
  <si>
    <t>Sindicato</t>
  </si>
  <si>
    <t>TUBARAO OTRALHA</t>
  </si>
  <si>
    <t>1332922539114238062</t>
  </si>
  <si>
    <t>DIXAVAS</t>
  </si>
  <si>
    <t>Dixavas</t>
  </si>
  <si>
    <t>DIAS</t>
  </si>
  <si>
    <t>961277581448073256</t>
  </si>
  <si>
    <t>BRASIL</t>
  </si>
  <si>
    <t>SonsofAnarchy</t>
  </si>
  <si>
    <t>GUILHERME PARRRAS</t>
  </si>
  <si>
    <t>BARRAGEM</t>
  </si>
  <si>
    <t>Barragem</t>
  </si>
  <si>
    <t>ZEUS HUNGRIA HZ</t>
  </si>
  <si>
    <t>1229319403372413021</t>
  </si>
  <si>
    <t>MUNIÇÃO</t>
  </si>
  <si>
    <t>TROPA DO MANTÉM</t>
  </si>
  <si>
    <t>Marrons</t>
  </si>
  <si>
    <t>GB</t>
  </si>
  <si>
    <t>755915658583212162</t>
  </si>
  <si>
    <t>ESPANHA</t>
  </si>
  <si>
    <t>Gang2</t>
  </si>
  <si>
    <t>NEU FERREIRA</t>
  </si>
  <si>
    <t>1202033524476219413</t>
  </si>
  <si>
    <t>FDG</t>
  </si>
  <si>
    <t>Gang3</t>
  </si>
  <si>
    <t>JEAN7!</t>
  </si>
  <si>
    <t>EGITO</t>
  </si>
  <si>
    <t>Gang8</t>
  </si>
  <si>
    <t>JOSY CASTELLAN</t>
  </si>
  <si>
    <t>CONEXÃO 33</t>
  </si>
  <si>
    <t>Gang6</t>
  </si>
  <si>
    <t>JNN DIMEOR</t>
  </si>
  <si>
    <t>1345807750470307930</t>
  </si>
  <si>
    <t>AZUIS</t>
  </si>
  <si>
    <t>Azuis</t>
  </si>
  <si>
    <t>RET CORINGA</t>
  </si>
  <si>
    <t>1118625664854151209</t>
  </si>
  <si>
    <t>MORRO DO SACOLA</t>
  </si>
  <si>
    <t>Morro-do-Sacola</t>
  </si>
  <si>
    <t>BAIANO SACOLA</t>
  </si>
  <si>
    <t>327960433988337675</t>
  </si>
  <si>
    <t>REAL TREM</t>
  </si>
  <si>
    <t>Gang7</t>
  </si>
  <si>
    <t>LULU</t>
  </si>
  <si>
    <t>760318170178256927</t>
  </si>
  <si>
    <t>FAZENDINHA</t>
  </si>
  <si>
    <t>Fazendinha</t>
  </si>
  <si>
    <t>TOMATE TERROR</t>
  </si>
  <si>
    <t>1378832345108447273</t>
  </si>
  <si>
    <t>TOKYO</t>
  </si>
  <si>
    <t>Gang5</t>
  </si>
  <si>
    <t>MATHS YAGAMI</t>
  </si>
  <si>
    <t>541799727784525828</t>
  </si>
  <si>
    <t>BLACK GOLD</t>
  </si>
  <si>
    <t>Cinzas</t>
  </si>
  <si>
    <t>ISTU PURUVUDU</t>
  </si>
  <si>
    <t>506964992369885215</t>
  </si>
  <si>
    <t>FYNIX</t>
  </si>
  <si>
    <t>Gang4</t>
  </si>
  <si>
    <t>RESERVADO</t>
  </si>
  <si>
    <t>VISIONÁRIOS</t>
  </si>
  <si>
    <t>Anonymous</t>
  </si>
  <si>
    <t>MAGRAO VISIONÁRIO MAGNATA</t>
  </si>
  <si>
    <t>1080012857422381067</t>
  </si>
  <si>
    <t>TROPA DO NORTE</t>
  </si>
  <si>
    <t>Inglaterra</t>
  </si>
  <si>
    <t>MADAME DEVIL</t>
  </si>
  <si>
    <t>531149467685224449</t>
  </si>
  <si>
    <t>MDS</t>
  </si>
  <si>
    <t>Warlocks</t>
  </si>
  <si>
    <t>SANTOS</t>
  </si>
  <si>
    <t>1336146792550760489</t>
  </si>
  <si>
    <t>ARMA</t>
  </si>
  <si>
    <t>CARIBE</t>
  </si>
  <si>
    <t>Caribe</t>
  </si>
  <si>
    <t>SAMURAI</t>
  </si>
  <si>
    <t>Desmache</t>
  </si>
  <si>
    <t>AKUMA</t>
  </si>
  <si>
    <t>TopGear</t>
  </si>
  <si>
    <t>2T</t>
  </si>
  <si>
    <t>1047950624748216392</t>
  </si>
  <si>
    <t>NOXUS</t>
  </si>
  <si>
    <t>Noxus</t>
  </si>
  <si>
    <t>GARLAN BLACK SIRIUS</t>
  </si>
  <si>
    <t>900303877260320788</t>
  </si>
  <si>
    <t>KINGS</t>
  </si>
  <si>
    <t>Israel</t>
  </si>
  <si>
    <t>RUYTER IPHONE</t>
  </si>
  <si>
    <t>850243244280512554</t>
  </si>
  <si>
    <t>EL SALVADOR</t>
  </si>
  <si>
    <t>Playboy</t>
  </si>
  <si>
    <t>STRIKE RLK</t>
  </si>
  <si>
    <t>1316191115644244059</t>
  </si>
  <si>
    <t>FRANÇA</t>
  </si>
  <si>
    <t>Franca</t>
  </si>
  <si>
    <t>GEGE SATO HAZE</t>
  </si>
  <si>
    <t>1249615856284078160</t>
  </si>
  <si>
    <t>UNIAOREAL</t>
  </si>
  <si>
    <t>Mercenarios</t>
  </si>
  <si>
    <t>CANARO 777</t>
  </si>
  <si>
    <t>1432810043643920514</t>
  </si>
  <si>
    <t>1347 - 747 / jaum - fundador</t>
  </si>
  <si>
    <t>GRINGA</t>
  </si>
  <si>
    <t>Gringa</t>
  </si>
  <si>
    <t>GORDIN BRAVIN</t>
  </si>
  <si>
    <t>1380913068795756696</t>
  </si>
  <si>
    <t>ITALIA</t>
  </si>
  <si>
    <t>Italia</t>
  </si>
  <si>
    <t>FELIPE A'NATA</t>
  </si>
  <si>
    <t>1382185852578435165</t>
  </si>
  <si>
    <t>RUSSIA</t>
  </si>
  <si>
    <t>Russia</t>
  </si>
  <si>
    <t>JUVENAL ALFREDO</t>
  </si>
  <si>
    <t>1182843519145082983</t>
  </si>
  <si>
    <t>INDIGENAS</t>
  </si>
  <si>
    <t>Japao</t>
  </si>
  <si>
    <t>CORINGA NUNES</t>
  </si>
  <si>
    <t>1203185416090681428</t>
  </si>
  <si>
    <t>MÉXICO</t>
  </si>
  <si>
    <t>Mexico</t>
  </si>
  <si>
    <t>PALHAÇO</t>
  </si>
  <si>
    <t>1347369285596614709</t>
  </si>
  <si>
    <t>MOSCOW</t>
  </si>
  <si>
    <t>Galaxy</t>
  </si>
  <si>
    <t>Dom</t>
  </si>
  <si>
    <t>448919592010514442</t>
  </si>
  <si>
    <t>TROPA DO BOM E NOVO</t>
  </si>
  <si>
    <t>China</t>
  </si>
  <si>
    <t>THAYLER DUARTE</t>
  </si>
  <si>
    <t>661043968032899083</t>
  </si>
  <si>
    <t xml:space="preserve">ok </t>
  </si>
  <si>
    <t>PRODUÇÃO</t>
  </si>
  <si>
    <t>COCAINA</t>
  </si>
  <si>
    <t>QTD LIVRE</t>
  </si>
  <si>
    <t>QG</t>
  </si>
  <si>
    <t>RÁDIO</t>
  </si>
  <si>
    <t xml:space="preserve"> Local do QG</t>
  </si>
  <si>
    <t>BALLAS</t>
  </si>
  <si>
    <t>QG 01</t>
  </si>
  <si>
    <t>Garlan Black</t>
  </si>
  <si>
    <t>223,224,225</t>
  </si>
  <si>
    <t>-2033.18,-137.57,27.68,158.75</t>
  </si>
  <si>
    <t>CAMPINHO</t>
  </si>
  <si>
    <t>QG 02</t>
  </si>
  <si>
    <t>110,111,112</t>
  </si>
  <si>
    <t>GRECIA</t>
  </si>
  <si>
    <t>QG 03</t>
  </si>
  <si>
    <t>240,241,242</t>
  </si>
  <si>
    <t>QG 04</t>
  </si>
  <si>
    <t>140,141,142</t>
  </si>
  <si>
    <t>CHINA</t>
  </si>
  <si>
    <t>QG 05</t>
  </si>
  <si>
    <t>150,151,152</t>
  </si>
  <si>
    <t>QG 06</t>
  </si>
  <si>
    <t>166,167,168</t>
  </si>
  <si>
    <t>QG 07</t>
  </si>
  <si>
    <t>231,232,233</t>
  </si>
  <si>
    <t>QG 08</t>
  </si>
  <si>
    <t>260,261,262</t>
  </si>
  <si>
    <t>QG 09</t>
  </si>
  <si>
    <t>255,256,257</t>
  </si>
  <si>
    <t>PEDREIRA</t>
  </si>
  <si>
    <t>QG 10</t>
  </si>
  <si>
    <t>271,272,273</t>
  </si>
  <si>
    <t>QG 11</t>
  </si>
  <si>
    <t>Ze pequenoo</t>
  </si>
  <si>
    <t>760,761,762</t>
  </si>
  <si>
    <t>FAC FOCO</t>
  </si>
  <si>
    <t>PALAZZO</t>
  </si>
  <si>
    <t>QG 12</t>
  </si>
  <si>
    <t>170,171,172</t>
  </si>
  <si>
    <t>QG 13</t>
  </si>
  <si>
    <t>183,184,185</t>
  </si>
  <si>
    <t>QG 14</t>
  </si>
  <si>
    <t>650 ,651 ,652</t>
  </si>
  <si>
    <t>DISSOLVIDA</t>
  </si>
  <si>
    <t>ROXOS</t>
  </si>
  <si>
    <t>QG 15</t>
  </si>
  <si>
    <t>Walter White</t>
  </si>
  <si>
    <t>200,201,202</t>
  </si>
  <si>
    <t>TROPA DO FACADA</t>
  </si>
  <si>
    <t>QG 16</t>
  </si>
  <si>
    <t>Facada Tdf</t>
  </si>
  <si>
    <t>101,102,103</t>
  </si>
  <si>
    <t>TRALHAS</t>
  </si>
  <si>
    <t>QG 17</t>
  </si>
  <si>
    <t>244,245,246</t>
  </si>
  <si>
    <t>COMERCIAL</t>
  </si>
  <si>
    <t>CRIPS</t>
  </si>
  <si>
    <t>QG 18</t>
  </si>
  <si>
    <t>Ryan Lennister</t>
  </si>
  <si>
    <t>207,208,209</t>
  </si>
  <si>
    <t>JAPAO</t>
  </si>
  <si>
    <t>QG 19</t>
  </si>
  <si>
    <t>Floripa</t>
  </si>
  <si>
    <t>730,731,732</t>
  </si>
  <si>
    <t>CANADA</t>
  </si>
  <si>
    <t>QG 20</t>
  </si>
  <si>
    <t>276,277,278</t>
  </si>
  <si>
    <t>COREIA</t>
  </si>
  <si>
    <t>QG 21</t>
  </si>
  <si>
    <t>180,181,182</t>
  </si>
  <si>
    <t>ALEMANHA</t>
  </si>
  <si>
    <t>QG 22</t>
  </si>
  <si>
    <t>280,281,282</t>
  </si>
  <si>
    <t>CALIFORNIA</t>
  </si>
  <si>
    <t>QG 23</t>
  </si>
  <si>
    <t>290,291,292</t>
  </si>
  <si>
    <t>QG 24</t>
  </si>
  <si>
    <t>Bk</t>
  </si>
  <si>
    <t>157,158,159</t>
  </si>
  <si>
    <t>LARANJAS</t>
  </si>
  <si>
    <t>QG 25</t>
  </si>
  <si>
    <t>160,161,162</t>
  </si>
  <si>
    <t>QG 26</t>
  </si>
  <si>
    <t>301,302,303</t>
  </si>
  <si>
    <t>QG 27</t>
  </si>
  <si>
    <t>340,341,342</t>
  </si>
  <si>
    <t>MEDELLIM</t>
  </si>
  <si>
    <t>QG 28</t>
  </si>
  <si>
    <t>350,351,352</t>
  </si>
  <si>
    <t>COLOMBIA</t>
  </si>
  <si>
    <t>QG 29</t>
  </si>
  <si>
    <t>345,346,347</t>
  </si>
  <si>
    <t>PCJ</t>
  </si>
  <si>
    <t>QG 30</t>
  </si>
  <si>
    <t>Jamelão</t>
  </si>
  <si>
    <t>800,801,802</t>
  </si>
  <si>
    <t>BENNYS</t>
  </si>
  <si>
    <t>QG 31</t>
  </si>
  <si>
    <t>390,391,392</t>
  </si>
  <si>
    <t>QG 32</t>
  </si>
  <si>
    <t>310,311,312</t>
  </si>
  <si>
    <t>MOSCOU</t>
  </si>
  <si>
    <t>QG 33</t>
  </si>
  <si>
    <t>327,328,329</t>
  </si>
  <si>
    <t>PORTUGAL</t>
  </si>
  <si>
    <t>QG 34</t>
  </si>
  <si>
    <t>SINALOA</t>
  </si>
  <si>
    <t>QG 35</t>
  </si>
  <si>
    <t>360,361,362</t>
  </si>
  <si>
    <t>BROOKLYN</t>
  </si>
  <si>
    <t>QG 36</t>
  </si>
  <si>
    <t>220,221,222</t>
  </si>
  <si>
    <t>GROVE</t>
  </si>
  <si>
    <t>QG 37</t>
  </si>
  <si>
    <t>401,402,403</t>
  </si>
  <si>
    <t>CHERNOBYL</t>
  </si>
  <si>
    <t>QG 38</t>
  </si>
  <si>
    <t>210,211,212</t>
  </si>
  <si>
    <t>QG 39</t>
  </si>
  <si>
    <t>Douglas</t>
  </si>
  <si>
    <t>780,781,782</t>
  </si>
  <si>
    <t>QG 40</t>
  </si>
  <si>
    <t>777,778,779</t>
  </si>
  <si>
    <t>QG 41</t>
  </si>
  <si>
    <t>821,822,823</t>
  </si>
  <si>
    <t>SUIÇA</t>
  </si>
  <si>
    <t>QG 42</t>
  </si>
  <si>
    <t>???</t>
  </si>
  <si>
    <t>QG 43</t>
  </si>
  <si>
    <t>ORG</t>
  </si>
  <si>
    <t>RÁDIO ANTERIOR</t>
  </si>
  <si>
    <t>RÁDIO ATUAL</t>
  </si>
  <si>
    <t>STATUS RADIO</t>
  </si>
  <si>
    <t>JAPÃO</t>
  </si>
  <si>
    <t>213,214,215</t>
  </si>
  <si>
    <t>50,51,52</t>
  </si>
  <si>
    <t>840,841,842</t>
  </si>
  <si>
    <t>950,951,952</t>
  </si>
  <si>
    <t>YAKUZA</t>
  </si>
  <si>
    <t>QG 44</t>
  </si>
  <si>
    <t>980,981,982</t>
  </si>
  <si>
    <t>CROACIA</t>
  </si>
  <si>
    <t>QG 45</t>
  </si>
  <si>
    <t>970,971,972</t>
  </si>
  <si>
    <t>CAPELINHA</t>
  </si>
  <si>
    <t>QG 46</t>
  </si>
  <si>
    <t>666,667,668</t>
  </si>
  <si>
    <t>c</t>
  </si>
  <si>
    <t>QTD COMERCIAL LIVRE</t>
  </si>
  <si>
    <t>INTERFO.</t>
  </si>
  <si>
    <t>KIT INI.</t>
  </si>
  <si>
    <t>LEGIÃO BLACK</t>
  </si>
  <si>
    <t>TROPA DO TWIZZY</t>
  </si>
  <si>
    <t>MORRO DO SANTÃO</t>
  </si>
  <si>
    <t>DUBAI</t>
  </si>
  <si>
    <t>🔫 QG 01 | LEGIÃO BLACK| PRODUÇÃO DE ARMAS 🔫</t>
  </si>
  <si>
    <t>&lt;== VOLTAR</t>
  </si>
  <si>
    <t>DISCORD:</t>
  </si>
  <si>
    <t>https://discord.gg/Zdq6hnjVM6</t>
  </si>
  <si>
    <t>CDS QG:</t>
  </si>
  <si>
    <t>-2033.18, -137.57, 27.68, 158.75</t>
  </si>
  <si>
    <t>CRAFTS</t>
  </si>
  <si>
    <t>CRAFT DE PRODUÇÃO:</t>
  </si>
  <si>
    <t>-2213.96,-270.22,42.51,161.58</t>
  </si>
  <si>
    <t>TÁTICO</t>
  </si>
  <si>
    <t>OPERACIONAL</t>
  </si>
  <si>
    <t>GERAL</t>
  </si>
  <si>
    <t>BAUS</t>
  </si>
  <si>
    <t>LIDER:</t>
  </si>
  <si>
    <t>-2211.19, -270.22, 42.51, 340.16</t>
  </si>
  <si>
    <t>SUPERVISOR:</t>
  </si>
  <si>
    <t>-2240.91,-261.89,46.42,65.2</t>
  </si>
  <si>
    <t>MEMBRO:</t>
  </si>
  <si>
    <t>-2232.21, -261.27, 46.42, 249.45</t>
  </si>
  <si>
    <t>INFORMAÇÕES DOS ZEROS</t>
  </si>
  <si>
    <t>ROTAS</t>
  </si>
  <si>
    <t>NOMES</t>
  </si>
  <si>
    <t>ID CIDADE</t>
  </si>
  <si>
    <t>FARM:</t>
  </si>
  <si>
    <t>-2049.75, -126.05, 32.99, 5.67</t>
  </si>
  <si>
    <t>00</t>
  </si>
  <si>
    <t>GARAGEM PESSOAL</t>
  </si>
  <si>
    <t>PESSOAL 1:</t>
  </si>
  <si>
    <t>-2016.87,-156.47,28.32,351.5</t>
  </si>
  <si>
    <t>01</t>
  </si>
  <si>
    <t>PESSOAL 2:</t>
  </si>
  <si>
    <t>-2312.18,-270.05,47.99,25.52</t>
  </si>
  <si>
    <t>Xlzk Only</t>
  </si>
  <si>
    <t>570243032725716999</t>
  </si>
  <si>
    <t>GARAGEM FACÇÃO</t>
  </si>
  <si>
    <t>02</t>
  </si>
  <si>
    <t>VIP FAC 1:</t>
  </si>
  <si>
    <t>-2031.46,-157.85,27.16,19.85 ( GARAGEM P1 )</t>
  </si>
  <si>
    <t>Samuel Rd</t>
  </si>
  <si>
    <t>1399779987581833358</t>
  </si>
  <si>
    <t>VIP FAC 2:</t>
  </si>
  <si>
    <t>-2306.24,-262.52,48.54,51.03  ( HELIPONTO )</t>
  </si>
  <si>
    <t>03</t>
  </si>
  <si>
    <t>UTILIDADES</t>
  </si>
  <si>
    <t>Gantsu</t>
  </si>
  <si>
    <t>1086447387595243551</t>
  </si>
  <si>
    <t>BARBEARIA:</t>
  </si>
  <si>
    <t>-2194.94, -277.84, 35.57, 260.79</t>
  </si>
  <si>
    <t>FARM COMERCIAL</t>
  </si>
  <si>
    <t>INFORMAÇÕES</t>
  </si>
  <si>
    <t>6352,104,1289 Quem pode puxar script</t>
  </si>
  <si>
    <t>VAQUINHA:</t>
  </si>
  <si>
    <t>-2241.05,-272.45,41.01,328.82</t>
  </si>
  <si>
    <t>Os zeros da alcateia dissolveram a fac e vieram para a Legião black</t>
  </si>
  <si>
    <t>PESCARIA:</t>
  </si>
  <si>
    <t>FARM AFK:</t>
  </si>
  <si>
    <t>🍬 QG 02 | CAMPINHO | PRODUÇÃO DE MUNIÇÃO 🍬</t>
  </si>
  <si>
    <t>https://discord.gg/h42Mhmqtx</t>
  </si>
  <si>
    <t>-2635.43, -71.31, 20.32, 280.63</t>
  </si>
  <si>
    <t>-2624.38, -43.58, 36.13, 320.32</t>
  </si>
  <si>
    <t>-2646.13, -29.55, 32.59, 320.32</t>
  </si>
  <si>
    <t>-2637.65, -27.59, 34.51, 45.36</t>
  </si>
  <si>
    <t>-2637.24, -67.30, 20.57, 14.18</t>
  </si>
  <si>
    <t>-2635.93, -76.04, 20.03, 215.44</t>
  </si>
  <si>
    <t>ENTREGA:</t>
  </si>
  <si>
    <t>-2636.94,-85.2,18.41</t>
  </si>
  <si>
    <t>-2629.11,-73.14,22.11</t>
  </si>
  <si>
    <t>FAC 1:</t>
  </si>
  <si>
    <t>-2614.64,-63.97,27.25</t>
  </si>
  <si>
    <t>-2572.16, -65.55, 46.12, 8.51</t>
  </si>
  <si>
    <t xml:space="preserve"> 💵 QG 03 | GRÉCIA | LAVAGEM DE DINHEIRO  💵</t>
  </si>
  <si>
    <r>
      <rPr>
        <rFont val="inherit"/>
        <b/>
        <color rgb="FF1155CC"/>
        <sz val="16.0"/>
        <u/>
      </rPr>
      <t>https://discord.gg/EPaapuEpEj</t>
    </r>
  </si>
  <si>
    <t>216.20, 1317.10, 241.27, 340.16</t>
  </si>
  <si>
    <t>201.75,1279.47,246.02,206.93</t>
  </si>
  <si>
    <t>74.14,1299.83,264.88,11.34</t>
  </si>
  <si>
    <t>233.95, 1309.98, 245.60, 343.00</t>
  </si>
  <si>
    <t>220.62, 1317.64, 241.22, 252.29</t>
  </si>
  <si>
    <t>205.24, 1285.53, 245.22, 232.45</t>
  </si>
  <si>
    <t>226.16, 1335.21, 238.95, 345.83</t>
  </si>
  <si>
    <t>193.44, 1280.22, 246.56, 277.80</t>
  </si>
  <si>
    <t>PESSOAL 3:</t>
  </si>
  <si>
    <t>-94.65, 1311.95, 290.34, 70.87</t>
  </si>
  <si>
    <t>220.00, 1338.23, 239.13, 334.49</t>
  </si>
  <si>
    <t>FAC 2:</t>
  </si>
  <si>
    <t>170.05, 1285.64, 249.09, 274.97</t>
  </si>
  <si>
    <t>FAC 3:</t>
  </si>
  <si>
    <t>-88.56, 1318.50, 289.90, 70.87</t>
  </si>
  <si>
    <t>LOJINHA LAVAGEM</t>
  </si>
  <si>
    <t>155.95,1282.59,249.5,351.5</t>
  </si>
  <si>
    <t>107.75, 1267.31, 255.21, 155.91</t>
  </si>
  <si>
    <t>🍬 QG 04 | ROSAS | PRODUÇÃO DE MUNIÇÃO 🍬</t>
  </si>
  <si>
    <r>
      <rPr>
        <rFont val="inherit"/>
        <b/>
        <color rgb="FF1155CC"/>
        <sz val="16.0"/>
        <u/>
      </rPr>
      <t>https://discord.gg/SMdG56SRNG</t>
    </r>
  </si>
  <si>
    <t>1306.98, -720.42, 64.85, 65.20</t>
  </si>
  <si>
    <t>1302.45, -709.05, 64.85, 323.15</t>
  </si>
  <si>
    <t>1306.2,-706.76,64.87,334.49,1317.46,-711.24,66.08,28.35</t>
  </si>
  <si>
    <t>1308.86,-712.18,64.92,343.0</t>
  </si>
  <si>
    <t>1314.51,-712.76,65.53,28.35,1318.63,-657.19,81.99,82.21</t>
  </si>
  <si>
    <t>Dri Flor</t>
  </si>
  <si>
    <t>1348289310658400296</t>
  </si>
  <si>
    <t>1312.29, -730.16, 65.09, 65.20</t>
  </si>
  <si>
    <t>Lice</t>
  </si>
  <si>
    <t>1448370079312904284</t>
  </si>
  <si>
    <t>1369.97, -727.49, 67.18, 102.05</t>
  </si>
  <si>
    <t>Mclovin Mv</t>
  </si>
  <si>
    <t>1456804290948632790</t>
  </si>
  <si>
    <t>Pesadelo</t>
  </si>
  <si>
    <t>925492835246022687</t>
  </si>
  <si>
    <t>1284.53, -722.00, 64.64, 144.57</t>
  </si>
  <si>
    <t>1378.48, -753.07, 67.18, 96.38</t>
  </si>
  <si>
    <t>Igor Isback</t>
  </si>
  <si>
    <t>1309574471169998879</t>
  </si>
  <si>
    <t>Manolo Yoshii</t>
  </si>
  <si>
    <t>252815949349126144</t>
  </si>
  <si>
    <t>1395.05, -766.99, 70.47, 277.80</t>
  </si>
  <si>
    <t>poderes script 1231</t>
  </si>
  <si>
    <t>🍁 QG 05 | JAPÃO | PRODUÇÃO DE MACONHA 🍁</t>
  </si>
  <si>
    <r>
      <rPr>
        <rFont val="inherit"/>
        <b/>
        <color rgb="FF1155CC"/>
        <sz val="16.0"/>
        <u/>
      </rPr>
      <t>https://discord.gg/7vNjX3aUMM</t>
    </r>
  </si>
  <si>
    <t>1228.77, -283.71, 70.92, 277.80</t>
  </si>
  <si>
    <t>1340.63, -197.81, 118.82, 218.27</t>
  </si>
  <si>
    <t>1345.02,-193.38,118.82,226.78</t>
  </si>
  <si>
    <t>1219.72,-277.38,78.86,22.68</t>
  </si>
  <si>
    <t>1226.92,-288.06,70.62,198.43</t>
  </si>
  <si>
    <t>1237.52,-268.41,75.18,14.18</t>
  </si>
  <si>
    <t>Floripa Trem</t>
  </si>
  <si>
    <t>1455214127898169344</t>
  </si>
  <si>
    <t>1217.12,-295.25,69.08,232.45</t>
  </si>
  <si>
    <t>Gb Trem</t>
  </si>
  <si>
    <t>1074764406103220275</t>
  </si>
  <si>
    <t>1495.01,-113.43,146.71,257.96</t>
  </si>
  <si>
    <t>Dede Jaco</t>
  </si>
  <si>
    <t>885710772062277632</t>
  </si>
  <si>
    <t>1208.84,-281.27,69.08,113.39</t>
  </si>
  <si>
    <t>Luiz Trem</t>
  </si>
  <si>
    <t>827280046716747836</t>
  </si>
  <si>
    <t>Vini Magnataa</t>
  </si>
  <si>
    <t>1185804608518488084</t>
  </si>
  <si>
    <t>Santiago Peral</t>
  </si>
  <si>
    <t>1489364331261858033</t>
  </si>
  <si>
    <t>1231.47,-268.68,75.18,218.27</t>
  </si>
  <si>
    <t>1264.92,-316.74,81.86,283.47 | NPC: 1273.93,-313.17,81.59,141.74</t>
  </si>
  <si>
    <t>FARM ATIVO:</t>
  </si>
  <si>
    <t>1235.71,-257.56,75.18,53.86</t>
  </si>
  <si>
    <t>Poderes Script</t>
  </si>
  <si>
    <t>7951 / 14147</t>
  </si>
  <si>
    <r>
      <rPr>
        <rFont val="inherit"/>
        <b/>
        <color rgb="FF1155CC"/>
        <sz val="16.0"/>
        <u/>
      </rPr>
      <t>https://discord.gg/EFgYQ6jQGh</t>
    </r>
  </si>
  <si>
    <t>1930.49,-967.21,79.3,229.61</t>
  </si>
  <si>
    <t>1916.66,-1006.21,82.68,229.61</t>
  </si>
  <si>
    <t>1917.09,-1000.6,83.41,303.31</t>
  </si>
  <si>
    <t>1913.86,-1000.79,79.13,246.62</t>
  </si>
  <si>
    <t>1940.06,-957.27,79.56,280.63</t>
  </si>
  <si>
    <t>1924.95, -969.57, 79.30, 56.70</t>
  </si>
  <si>
    <t xml:space="preserve">1924.95, -969.57, 79.30, 56.70	</t>
  </si>
  <si>
    <t>1928.34,-965.92,79.4,39.69</t>
  </si>
  <si>
    <t>1956.77, -1030.12, 88.93, 229.61</t>
  </si>
  <si>
    <t>1869.88, -1148.99, 87.55, 153.08</t>
  </si>
  <si>
    <t>1922.58, -986.98, 79.26, 323.15</t>
  </si>
  <si>
    <t>1871.11, -1165.60, 88.02, 150.24</t>
  </si>
  <si>
    <t>1911.37,-990.02,79.28,62.37</t>
  </si>
  <si>
    <t>🔫 QG 07 | AZUIS | PRODUÇÃO DE ARMAS 🔫</t>
  </si>
  <si>
    <r>
      <rPr>
        <rFont val="inherit"/>
        <b/>
        <color rgb="FF1155CC"/>
        <sz val="16.0"/>
        <u/>
      </rPr>
      <t>https://discord.gg/K53HhXuGMF</t>
    </r>
  </si>
  <si>
    <t>1759.60, -1942.50, 128.75, 53.86</t>
  </si>
  <si>
    <t>1773.39, -1954.33, 136.30, 175.75</t>
  </si>
  <si>
    <t>1770.31, -1953.99, 136.30, 178.59</t>
  </si>
  <si>
    <t>1766.71, -1953.71, 136.30, 189.93</t>
  </si>
  <si>
    <t>1746.78, -1939.37, 121.10, 136.07</t>
  </si>
  <si>
    <t>1767.43, -1949.31, 134.70, 155.91</t>
  </si>
  <si>
    <t>1764.06, -1941.46, 131.09, 53.86</t>
  </si>
  <si>
    <t>1799.11, -1950.05, 152.64, 82.21</t>
  </si>
  <si>
    <t>1774.73, -1943.88, 138.71, 82.21</t>
  </si>
  <si>
    <t>1808.37, -1932.58, 158.22, 150.24</t>
  </si>
  <si>
    <t>1808.80, -1893.98, 155.24, 277.81</t>
  </si>
  <si>
    <t>🍬 QG 08 | RUSSIA | PRODUÇÃO DE MUNIÇÃO 🍬</t>
  </si>
  <si>
    <t>https://discord.gg/RWnDuxe7qw</t>
  </si>
  <si>
    <t>-2769.32, 2267.45, 22.98, 229.61</t>
  </si>
  <si>
    <t>-2830.78, 2270.33, 24.72, 133.23</t>
  </si>
  <si>
    <t xml:space="preserve">-2834.20, 2273.32, 24.75, 136.07
</t>
  </si>
  <si>
    <t>-2818.78, 2267.87, 24.45, 141.74</t>
  </si>
  <si>
    <t>-2755.99, 2274.78, 22.22, 317.49</t>
  </si>
  <si>
    <t>-2767.46, 2285.53, 16.01, 320.32</t>
  </si>
  <si>
    <t>-2771.74,2260.88,23.24,235.28</t>
  </si>
  <si>
    <t>-2765.90, 2274.11, 19.73, 223.94</t>
  </si>
  <si>
    <t>-2785.3,2248.08,23.98,252.29</t>
  </si>
  <si>
    <t>-2762.66, 2252.83, 22.53, 297.60</t>
  </si>
  <si>
    <t>-2825.77, 2318.17, 3.86, 31.19</t>
  </si>
  <si>
    <t>🍁 QG 09 | FRANÇA | PRODUÇÃO DE MACONHA 🍁</t>
  </si>
  <si>
    <r>
      <rPr>
        <rFont val="inherit"/>
        <b/>
        <color rgb="FF1155CC"/>
        <sz val="16.0"/>
        <u/>
      </rPr>
      <t>https://discord.gg/GuUtGHANVq</t>
    </r>
  </si>
  <si>
    <t>-2944.02, 1351.07, 48.27, 5.67</t>
  </si>
  <si>
    <t>-2993.28, 1339.64, 53.48, 96.38</t>
  </si>
  <si>
    <t>-2993.64, 1342.65, 53.48, 96.38</t>
  </si>
  <si>
    <t>-2995.06, 1339.22, 53.48, 189.90</t>
  </si>
  <si>
    <t>-2949.12, 1346.91, 47.36, 93.55</t>
  </si>
  <si>
    <t>-2922.40, 1378.28, 69.59, 153.08</t>
  </si>
  <si>
    <t>-2947.42, 1352.54, 49.44, 184.26</t>
  </si>
  <si>
    <t>-2967.24, 1396.58, 64.16, 144.57</t>
  </si>
  <si>
    <t>1808.37, -1932.58, 158.22, 150.20</t>
  </si>
  <si>
    <t>-2935.63, 1394.21, 66.02, 153.08</t>
  </si>
  <si>
    <t>🔫 QG 10 | PEDREIRA | PRODUÇÃO DE ARMAS 🔫</t>
  </si>
  <si>
    <r>
      <rPr>
        <rFont val="inherit"/>
        <b/>
        <color rgb="FF1155CC"/>
        <sz val="16.0"/>
        <u/>
      </rPr>
      <t>https://discord.gg/cGX9udCxZY</t>
    </r>
  </si>
  <si>
    <t>2584.32, 2721.84, 42.68, 141.74</t>
  </si>
  <si>
    <t>2573.77, 2742.16, 42.68, 141.74</t>
  </si>
  <si>
    <t>2777.70, 2690.38, 56.08, 297.64</t>
  </si>
  <si>
    <t>2577.26, 2747.48, 42.87, 320.32</t>
  </si>
  <si>
    <t>2586.12, 2732.37, 42.63, 317.49</t>
  </si>
  <si>
    <t>2612.15, 2725.59, 41.30, 201.26</t>
  </si>
  <si>
    <t>2582.13, 2714.44, 42.65, 104.89</t>
  </si>
  <si>
    <t>2891.04, 2732.19, 71.17, 209.77</t>
  </si>
  <si>
    <t>2904.70, 2720.84, 72.25, 206.93</t>
  </si>
  <si>
    <t>2565.30, 2706.97, 41.99, 113.39</t>
  </si>
  <si>
    <t>2785.56, 2702.51, 55.87, 119.06</t>
  </si>
  <si>
    <t>🍬 QG 11 | ITÁLIA | PRODUÇÃO DE MUNIÇÃO 🍬</t>
  </si>
  <si>
    <r>
      <rPr>
        <rFont val="inherit"/>
        <b/>
        <color rgb="FF1155CC"/>
        <sz val="16.0"/>
        <u/>
      </rPr>
      <t>https://discord.gg/y6paUQtZH6</t>
    </r>
  </si>
  <si>
    <t>1310.60, 1426.46, 100.81, 277.80</t>
  </si>
  <si>
    <t>1525.23, 1378.62, 108.23, 119.06</t>
  </si>
  <si>
    <t>1569.31,1433.62,107.91,274.97</t>
  </si>
  <si>
    <t>1573.8,1417.14,107.03,257.96</t>
  </si>
  <si>
    <t>1563.79,1422.44,107.48,76.54</t>
  </si>
  <si>
    <t>1527.30, 1389.58, 108.23, 28.35</t>
  </si>
  <si>
    <t>1538.15,1357.27,97.85,121.89</t>
  </si>
  <si>
    <t>1557.6,1316.88,93.7,76.54</t>
  </si>
  <si>
    <t>1531.45,1363.66,97.85</t>
  </si>
  <si>
    <t>🔫 QG 12 | PALAZZO | PRODÇÃO DE ARMAS 🔫</t>
  </si>
  <si>
    <r>
      <rPr>
        <rFont val="inherit"/>
        <b/>
        <color rgb="FF1155CC"/>
        <sz val="16.0"/>
        <u/>
      </rPr>
      <t>https://discord.gg/fc2pSfUEfx</t>
    </r>
  </si>
  <si>
    <t>413.74, -1559.68, 29.12, 164.41</t>
  </si>
  <si>
    <t>383.49, -1507.71, 29.28, 25.52</t>
  </si>
  <si>
    <t>414.26, -1508.12, 29.30, 297.64</t>
  </si>
  <si>
    <t>408.04, -1499.86, 30.14, 303.31</t>
  </si>
  <si>
    <t>428.05, -1515.24, 29.28, 31.19</t>
  </si>
  <si>
    <t>380.08, -1509.70, 29.28, 17.01</t>
  </si>
  <si>
    <t>401.49,-1562.79,29.34,260.79</t>
  </si>
  <si>
    <t>461.11,-1512.76,29.28,164.41</t>
  </si>
  <si>
    <t>435.29,-1470.0,29.28,0.0</t>
  </si>
  <si>
    <t>415.71,-1563.58,29.23,229.61</t>
  </si>
  <si>
    <t>480.41,-1547.14,29.28,317.49</t>
  </si>
  <si>
    <t>487.96, -1525.67, 29.28, 56.70</t>
  </si>
  <si>
    <t>🍁 QG 13 | NOXUS | BASEADO 🍁</t>
  </si>
  <si>
    <t>https://discord.gg/mgNknuSm</t>
  </si>
  <si>
    <t>-332.75, 233.71, 86.25, 201.26</t>
  </si>
  <si>
    <t>-296.92, 181.44, 87.92, 90.71</t>
  </si>
  <si>
    <t>-286.01, 155.45, 87.92, 271.44</t>
  </si>
  <si>
    <t>-300.71, 148.32, 87.92, 175.75</t>
  </si>
  <si>
    <t>-309.44, 179.74, 87.92, 294.81</t>
  </si>
  <si>
    <t>-337.35, 208.15, 87.62, 178.59</t>
  </si>
  <si>
    <t>-298.44, 223.57, 87.94, 184.26</t>
  </si>
  <si>
    <t>-340.04,229.92,85.87,308.98</t>
  </si>
  <si>
    <t>-337.5,223.39,86.32,99.22</t>
  </si>
  <si>
    <t>-318.26, 205.72, 87.97, 5.67</t>
  </si>
  <si>
    <t>🧂 QG 14 | GRINGA | PRODUÇÃO DE COCAÍNA 🧂</t>
  </si>
  <si>
    <t>https://discord.gg/M3nxZPs7</t>
  </si>
  <si>
    <t>-137.7,963.86,235.83,263.63</t>
  </si>
  <si>
    <t>-103.43,992.11,235.75,110.56</t>
  </si>
  <si>
    <t>-65.12,987.91,239.5,215.44</t>
  </si>
  <si>
    <t>-66.46,999.38,239.47,62.37</t>
  </si>
  <si>
    <t>-69.3,1002.55,234.4,238.12</t>
  </si>
  <si>
    <t>-136.23,1011.43,235.73,104.89</t>
  </si>
  <si>
    <t>-131.84,963.7,236.03,226.78</t>
  </si>
  <si>
    <t>-131.22,995.81,235.83,107.72</t>
  </si>
  <si>
    <t>-133.76,1004.68,235.73,8.51</t>
  </si>
  <si>
    <t>-109.26,981.63,240.83,155.91</t>
  </si>
  <si>
    <t>🧂 QG 15 | ROXOS | PRODUÇÃO COCAINA 🧂</t>
  </si>
  <si>
    <r>
      <rPr>
        <rFont val="inherit"/>
        <b/>
        <color rgb="FF1155CC"/>
        <sz val="15.0"/>
        <u/>
      </rPr>
      <t>https://discord.gg/eTyKYvaFxC</t>
    </r>
  </si>
  <si>
    <t>-851.03, 160.03, 65.65, 85.04</t>
  </si>
  <si>
    <t>-808.36, 175.24, 76.73, 201.26</t>
  </si>
  <si>
    <t>-812.29, 177.88, 76.73, 19.85</t>
  </si>
  <si>
    <t>-802.60, 168.82, 72.82, 39.69</t>
  </si>
  <si>
    <t>-804.71, 177.50, 72.82, 212.60</t>
  </si>
  <si>
    <t>-810.56, 167.70, 72.22, 289.14</t>
  </si>
  <si>
    <t>-810.09, 158.44, 71.53, 90.71</t>
  </si>
  <si>
    <t>-850.98, 165.78, 66.74, 99.22</t>
  </si>
  <si>
    <t>-821.97,187.01,72.13,102.05</t>
  </si>
  <si>
    <t>-856.45,150.52,63.44,136.07</t>
  </si>
  <si>
    <t>-803.59, 169.65, 76.73, 291.97</t>
  </si>
  <si>
    <t>🔫 QG 16 | TROPA DO TWIZZY | PRODUÇÃO DE ARMAS 🔫</t>
  </si>
  <si>
    <r>
      <rPr>
        <rFont val="inherit"/>
        <b/>
        <color rgb="FF1155CC"/>
        <sz val="16.0"/>
        <u/>
      </rPr>
      <t>https://discord.gg/RSnJwqJHqV</t>
    </r>
  </si>
  <si>
    <t>1893.83, 453.57, 170.87, 138.90</t>
  </si>
  <si>
    <t>2018.51, 446.89, 171.03, 257.96</t>
  </si>
  <si>
    <t>2032.54, 456.22, 170.97, 51.03</t>
  </si>
  <si>
    <t>2015.85, 461.28, 170.91, 104.89</t>
  </si>
  <si>
    <t>2057.54,442.67,176.37,158.75</t>
  </si>
  <si>
    <t>1890.18,441.74,170.87,0.0</t>
  </si>
  <si>
    <t>1871.29,466.69,171.45,136.07</t>
  </si>
  <si>
    <t>1887.08,449.5,170.87,22.68</t>
  </si>
  <si>
    <t>1890.07,420.72,172.91,79.38   ( HELIPONTO )</t>
  </si>
  <si>
    <t>2047.89, 434.23, 179.45, 249.45</t>
  </si>
  <si>
    <t>🧂 QG 17 | OS TRALHAS | COCAÍNA 🧂</t>
  </si>
  <si>
    <r>
      <rPr>
        <rFont val="inherit"/>
        <b/>
        <color rgb="FF1155CC"/>
        <sz val="16.0"/>
        <u/>
      </rPr>
      <t>https://discord.gg/J3XhVFM7ws</t>
    </r>
  </si>
  <si>
    <t>-1903.21, 2046.26, 140.76, 320.32</t>
  </si>
  <si>
    <t>SEM CRAFT</t>
  </si>
  <si>
    <t>-1876.24, 2062.63, 145.57, 354.34</t>
  </si>
  <si>
    <t>-1864.64, 2066.58, 140.97, 269.30</t>
  </si>
  <si>
    <t>-1864.53, 2062.05, 140.97, 277.80</t>
  </si>
  <si>
    <t>-1877.97, 2049.74, 140.98, 68.04</t>
  </si>
  <si>
    <t>-1908.36,2024.95,140.73,289.14</t>
  </si>
  <si>
    <t>-1888.31,2040.99,140.93,110.56</t>
  </si>
  <si>
    <t>-1908.84,2003.73,141.89,223.94</t>
  </si>
  <si>
    <t>-1908.98, 2045.87, 140.73, 232.45</t>
  </si>
  <si>
    <t>-1874.22, 2067.50, 145.57, 65.20</t>
  </si>
  <si>
    <t>💵 QG 18 | MORRO SANTÃO | PRODUÇÃO DE BASEADO  💵</t>
  </si>
  <si>
    <r>
      <rPr>
        <rFont val="inherit"/>
        <b/>
        <color rgb="FF1155CC"/>
        <sz val="16.0"/>
        <u/>
      </rPr>
      <t>https://discord.gg/v7uCqtp7GQ</t>
    </r>
  </si>
  <si>
    <t>-3011.11,110.6,12.82,116.23</t>
  </si>
  <si>
    <t>-3030.85, 84.70, 12.82, 141.74</t>
  </si>
  <si>
    <t>-3025.48,86.02,12.82,294.81</t>
  </si>
  <si>
    <t>-2954.99,61.89,11.61,297.64</t>
  </si>
  <si>
    <t>-2963.15,65.66,11.61,325.99</t>
  </si>
  <si>
    <t>-3012.27, 77.56, 11.63, 238.12</t>
  </si>
  <si>
    <t>Arthurs Blander</t>
  </si>
  <si>
    <t>1377362204273148095</t>
  </si>
  <si>
    <t>-3040.73,104.79,11.56,223.94</t>
  </si>
  <si>
    <t>Santos MDS</t>
  </si>
  <si>
    <t>-2968.23,77.77,11.59,340.16</t>
  </si>
  <si>
    <t>Bya Perisosa</t>
  </si>
  <si>
    <t>1353080210303488101</t>
  </si>
  <si>
    <t>-2999.78,77.27,11.61,167.25</t>
  </si>
  <si>
    <t>-3032.16,141.8,11.61,153.08</t>
  </si>
  <si>
    <t>Lorim Fps</t>
  </si>
  <si>
    <t>1235789093799989360</t>
  </si>
  <si>
    <t>Rcd</t>
  </si>
  <si>
    <t>1429679669099368551</t>
  </si>
  <si>
    <t>Marola Bandeirola</t>
  </si>
  <si>
    <t>1433302059582750740</t>
  </si>
  <si>
    <t>-3061.88,136.37,11.59,274.97</t>
  </si>
  <si>
    <t>2698/13308</t>
  </si>
  <si>
    <t>🍁 QG 19 | EGITO | PRODUÇÃO DE BASEADO 🍁</t>
  </si>
  <si>
    <t>https://discord.gg/XjdkbMQM</t>
  </si>
  <si>
    <t>932.14, 356.87, 112.25, 53.86</t>
  </si>
  <si>
    <t>923.25,387.45,112.49,317.49</t>
  </si>
  <si>
    <t>888.06,354.37,116.68,317.49</t>
  </si>
  <si>
    <t>899.57, 359.74, 112.49, 45.36</t>
  </si>
  <si>
    <t>911.1,374.39,112.51,48.19</t>
  </si>
  <si>
    <t>929.02,391.51,112.47,48.19</t>
  </si>
  <si>
    <t>858.99, 361.85, 118.30, 232.45</t>
  </si>
  <si>
    <t>902.0,337.28,112.22,133.23</t>
  </si>
  <si>
    <t>842.19,237.79,83.32,229.61</t>
  </si>
  <si>
    <t>920.13,337.56,112.22,317.49</t>
  </si>
  <si>
    <t>884.81,351.25,112.56,328.82</t>
  </si>
  <si>
    <t>🍬 QG 20 | CANADA | PRODUÇÃO MUNIÇÃO 🍬</t>
  </si>
  <si>
    <r>
      <rPr>
        <rFont val="inherit"/>
        <b/>
        <color rgb="FF1155CC"/>
        <sz val="16.0"/>
        <u/>
      </rPr>
      <t>https://discord.gg/fFBkfFuUWt</t>
    </r>
  </si>
  <si>
    <t>-2305.60, 413.45, 178.98, 237.03</t>
  </si>
  <si>
    <t>-2268.17,361.07,179.75,17.01</t>
  </si>
  <si>
    <t>-2304.50, 338.60, 174.60, 206.93</t>
  </si>
  <si>
    <t>-2310.10, 344.66, 174.60, 31.19</t>
  </si>
  <si>
    <t>-2278.07, 379.31, 174.60, 243.78</t>
  </si>
  <si>
    <t>-2288.57, 369.80, 174.60, 206.93</t>
  </si>
  <si>
    <t>-2300.79,421.01,174.6,226.78</t>
  </si>
  <si>
    <t>-2282.98,399.92,174.6,223.94</t>
  </si>
  <si>
    <t>-2311.99,463.28,174.51,252.29</t>
  </si>
  <si>
    <t>PESSOAL 4:</t>
  </si>
  <si>
    <t>-2315.15,425.9,174.6,334.49</t>
  </si>
  <si>
    <t>-2226.75, 338.63, 174.60, 19.85</t>
  </si>
  <si>
    <t>💵 QG 21 | COREIA | LAVAGEM 💵</t>
  </si>
  <si>
    <r>
      <rPr>
        <rFont val="inherit"/>
        <b/>
        <color rgb="FF1155CC"/>
        <sz val="16.0"/>
        <u/>
      </rPr>
      <t>https://discord.gg/9dBRpWz67b</t>
    </r>
  </si>
  <si>
    <t>-1134.22, 368.02, 78.52, 225.75</t>
  </si>
  <si>
    <t>-1145.69,375.8,71.31,323.15</t>
  </si>
  <si>
    <t>-1123.54, 362.20, 71.31, 60.86</t>
  </si>
  <si>
    <t>-1143.57, 369.02, 71.31, 222.22</t>
  </si>
  <si>
    <t>-1138.64, 375.76, 71.31, 358.47</t>
  </si>
  <si>
    <t>-1148.75,372.39,71.31,141.74</t>
  </si>
  <si>
    <t xml:space="preserve">                Tokyo Ricci</t>
  </si>
  <si>
    <t>853464842870718494</t>
  </si>
  <si>
    <t>-1091.92,354.24,68.49,34.02</t>
  </si>
  <si>
    <t>-1086.97,373.6,68.85,235.28</t>
  </si>
  <si>
    <t>Gustavin Guss</t>
  </si>
  <si>
    <t>1498091163796635789</t>
  </si>
  <si>
    <t>-1133.73, 388.24, 70.88, 260.49</t>
  </si>
  <si>
    <t>Luke7</t>
  </si>
  <si>
    <t>938849209979908186</t>
  </si>
  <si>
    <t>-1092.82, 365.73, 68.68, 268.57</t>
  </si>
  <si>
    <t>Notorios</t>
  </si>
  <si>
    <t>549407754813571082</t>
  </si>
  <si>
    <t>Samuka</t>
  </si>
  <si>
    <t>1351680191914840127</t>
  </si>
  <si>
    <t>-1125.46, 357.50, 71.31, 308.98</t>
  </si>
  <si>
    <t>Bigode</t>
  </si>
  <si>
    <t>783353460195065916</t>
  </si>
  <si>
    <t>LOJINHA DA FAC:</t>
  </si>
  <si>
    <t>-1132.53, 365.37, 74.93, 53.86</t>
  </si>
  <si>
    <t>Poder de FXF 12648</t>
  </si>
  <si>
    <t>🚗 QG 24 | BERLIM | DESMANCHE DE CARROS 🚗</t>
  </si>
  <si>
    <t>https://discord.gg/s2JBG9JBWg</t>
  </si>
  <si>
    <t>-542.22, -927.81, 23.89, 65.20</t>
  </si>
  <si>
    <t>SLOTE DE DESMANCHE 1:</t>
  </si>
  <si>
    <t>-589.26,-923.97,23.88,280.63</t>
  </si>
  <si>
    <t>SLOTE DE DESMANCHE 2:</t>
  </si>
  <si>
    <t>-584.71,-923.39,23.88,184.26</t>
  </si>
  <si>
    <t>SLOTE DE DESMANCHE 3:</t>
  </si>
  <si>
    <t>-579.41,-923.07,23.88,189.93</t>
  </si>
  <si>
    <t>SLOTE DE DESMANCHE 4:</t>
  </si>
  <si>
    <t>-574.52,-923.59,23.88,187.09</t>
  </si>
  <si>
    <t>SLOTE DE DESMANCHE 5:</t>
  </si>
  <si>
    <t>-568.99,-922.69,23.88,184.26</t>
  </si>
  <si>
    <t>-566.83, -920.61, 27.50, 354.34</t>
  </si>
  <si>
    <t>-562.79, -936.44, 23.88, 274.97</t>
  </si>
  <si>
    <t>Rauzz Kurt</t>
  </si>
  <si>
    <t>959167919751847966</t>
  </si>
  <si>
    <t>-592.03, -921.38, 23.88, 76.54</t>
  </si>
  <si>
    <t>Poze Kurt</t>
  </si>
  <si>
    <t>573862534000410654</t>
  </si>
  <si>
    <t>-533.43,-904.18,23.86,263.63</t>
  </si>
  <si>
    <t>Ws Burt</t>
  </si>
  <si>
    <t>763766714646921216</t>
  </si>
  <si>
    <t>-568.83,-897.63,23.67,294.81</t>
  </si>
  <si>
    <t>Didi Kurt</t>
  </si>
  <si>
    <t>594693921217708063</t>
  </si>
  <si>
    <t>-582.61,-911.8,23.88,272.13</t>
  </si>
  <si>
    <t>Larrisa Kurt</t>
  </si>
  <si>
    <t>799781646454882344</t>
  </si>
  <si>
    <t xml:space="preserve"> Poder de Script: 14441</t>
  </si>
  <si>
    <t>🍬 QG 25 | LARANJAS | PROUÇÃO DE MUNIÇÃO 🍬</t>
  </si>
  <si>
    <r>
      <rPr>
        <rFont val="inherit"/>
        <b/>
        <color rgb="FF1155CC"/>
        <sz val="16.0"/>
        <u/>
      </rPr>
      <t>https://discord.gg/2vGeh2Dbz</t>
    </r>
  </si>
  <si>
    <t>-656.49, -1651.67, 25.38, 325.99</t>
  </si>
  <si>
    <t>-620.22,-1617.87,33.01,2.84</t>
  </si>
  <si>
    <t>-618.89, -1617.90, 33.01, 345.83</t>
  </si>
  <si>
    <t>-620.87, -1640.04, 26.35, 337.33</t>
  </si>
  <si>
    <t>-624.44, -1609.70, 26.89, 178.59</t>
  </si>
  <si>
    <t>-627.34,-1611.52,26.54,286.3</t>
  </si>
  <si>
    <t>-640.12,-1658.33,25.97,283.47</t>
  </si>
  <si>
    <t>-608.41,-1603.05,26.74,17.01</t>
  </si>
  <si>
    <t>-634.61,-1648.07,25.97,246.62</t>
  </si>
  <si>
    <t>-607.08,-1593.4,26.74,102.05</t>
  </si>
  <si>
    <t>-618.63,-1623.62,33.01,5.67</t>
  </si>
  <si>
    <t>🧂 QG 26 | HOLLYWOOD | COCAÍNA 🧂</t>
  </si>
  <si>
    <r>
      <rPr>
        <rFont val="inherit"/>
        <b/>
        <color rgb="FF1155CC"/>
        <sz val="16.0"/>
        <u/>
      </rPr>
      <t>https://discord.gg/eUJCaDveEm</t>
    </r>
  </si>
  <si>
    <t>-1519.66, -447.70, 35.45, 53.86</t>
  </si>
  <si>
    <t>-1544.47, -389.12, 42.39, 48.19</t>
  </si>
  <si>
    <t>-1545.29, -391.22, 42.17, 42.52</t>
  </si>
  <si>
    <t>-1547.30, -441.81, 35.87, 141.74</t>
  </si>
  <si>
    <t>-1565.76, -412.04, 42.38, 277.80</t>
  </si>
  <si>
    <t>-1565.59,-412.04,42.38,51.03</t>
  </si>
  <si>
    <t>-1512.34,-443.88,35.59,252.29</t>
  </si>
  <si>
    <t>-1540.49,-434.79,35.59,266.46</t>
  </si>
  <si>
    <t>-1525.92,-414.83,35.59,232.45</t>
  </si>
  <si>
    <t>SEM BARBAEARIA</t>
  </si>
  <si>
    <t>🍬 QG 27 | ESPANHA | MUNIÇÃO 🍬</t>
  </si>
  <si>
    <r>
      <rPr>
        <rFont val="inherit"/>
        <b/>
        <color rgb="FF1155CC"/>
        <sz val="16.0"/>
        <u/>
      </rPr>
      <t>https://discord.gg/StmqPWcwYQ</t>
    </r>
  </si>
  <si>
    <t>893.94, 7.75, 78.87, 14.18</t>
  </si>
  <si>
    <t>990.80, 31.61, 71.46, 39.69</t>
  </si>
  <si>
    <t>991.56, 27.84, 71.46, 255.12</t>
  </si>
  <si>
    <t>964.69, 19.88, 71.46, 82.21</t>
  </si>
  <si>
    <t>967.43, 24.49, 71.46, 5.67</t>
  </si>
  <si>
    <t>953.23, 22.92, 71.90, 164.41</t>
  </si>
  <si>
    <t>902.83, 13.28, 79.01, 348.67</t>
  </si>
  <si>
    <t>918.43, 62.50, 80.90, 17.01</t>
  </si>
  <si>
    <t>940.53, -38.32, 78.76, 53.86</t>
  </si>
  <si>
    <t xml:space="preserve">Não tem </t>
  </si>
  <si>
    <t>🍬 QG 28| MEDELLIN | PRODRUÇÃO DE MUNIÇÃO 🍬</t>
  </si>
  <si>
    <r>
      <rPr>
        <rFont val="inherit"/>
        <b/>
        <color rgb="FF1155CC"/>
        <sz val="16.0"/>
        <u/>
      </rPr>
      <t>https://discord.gg/8XyQJws4Ev</t>
    </r>
  </si>
  <si>
    <t>-777.87, -1782.38, 30.99, 286.30</t>
  </si>
  <si>
    <t>-806.79, -1805.85, 28.95, 320.32</t>
  </si>
  <si>
    <t>-822.89, -1796.01, 29.05, 59.53</t>
  </si>
  <si>
    <t>-816.21, -1799.03, 28.93, 42.52</t>
  </si>
  <si>
    <t>-799.37, -1823.07, 28.68, 42.52</t>
  </si>
  <si>
    <t>-797.43, -1814.16, 28.61, 212.60</t>
  </si>
  <si>
    <t>-786.47, -1789.68, 31.83, 218.27</t>
  </si>
  <si>
    <t>-790.29, -1973.28, 9.00, 223.94</t>
  </si>
  <si>
    <t>-792.89, -1808.53, 29.08, 45.36</t>
  </si>
  <si>
    <t>-827.51, -1939.31, 18.38, 138.90</t>
  </si>
  <si>
    <t>-806.29, -1800.79, 28.95, 136.07</t>
  </si>
  <si>
    <t>🚗 QG 29 | COLÔMBIA | DESMANCHE DE CARROS 🚗</t>
  </si>
  <si>
    <t>https://discord.gg/8MqfQuCqKa</t>
  </si>
  <si>
    <t>-374.99,-129.5,38.69,153.08</t>
  </si>
  <si>
    <t>-349.62,-124.81,43.14,249.45</t>
  </si>
  <si>
    <t>-352.72, -145.76, 38.99, 124.73</t>
  </si>
  <si>
    <t>-337.66,-152.47,38.99,317.49</t>
  </si>
  <si>
    <t>-389.45,-130.58,38.69,56.7</t>
  </si>
  <si>
    <t>-381.98,-143.31,38.69,124.73</t>
  </si>
  <si>
    <t>-352.72,-127.92,43.14,255.12</t>
  </si>
  <si>
    <t>LOJA DA ORG:</t>
  </si>
  <si>
    <t>-351.75,-129.73,39.23,158.75</t>
  </si>
  <si>
    <t>🍬 QG 30 | PCJ | PRODUÇÃO DE MUNIÇÃO 🍬</t>
  </si>
  <si>
    <t>https://discord.gg/rXTJNxfHeb</t>
  </si>
  <si>
    <t>-1473.53,882.91,183.01,218.27</t>
  </si>
  <si>
    <t>-1490.98,833.71,176.99,212.6</t>
  </si>
  <si>
    <t>-1484.72,836.64,176.99,255.12</t>
  </si>
  <si>
    <t>-1506.88,836.92,181.59,85.04</t>
  </si>
  <si>
    <t>-1497.29,845.41,181.59,99.22</t>
  </si>
  <si>
    <t>PROCRUAR ROTA CORRETA</t>
  </si>
  <si>
    <t>DIZAEL</t>
  </si>
  <si>
    <t>605580463389540363</t>
  </si>
  <si>
    <t>Barbudo Dygeras</t>
  </si>
  <si>
    <t>1413193312327958651</t>
  </si>
  <si>
    <t>"-1557.7,860.92,184.27,14.18" Verificar</t>
  </si>
  <si>
    <t>Baphomet</t>
  </si>
  <si>
    <t>840042374146162739</t>
  </si>
  <si>
    <t>-1553.06,883.94,181.32,320.32</t>
  </si>
  <si>
    <t>Mirela</t>
  </si>
  <si>
    <t>647202917505433602</t>
  </si>
  <si>
    <t>-1532.67,852.24,181.56,150.24</t>
  </si>
  <si>
    <t>Panelinha</t>
  </si>
  <si>
    <t>1327810174974427166</t>
  </si>
  <si>
    <t>-1504.89,859.42,181.59,53.86</t>
  </si>
  <si>
    <t>-1468.77,820.48,183.29,266.46</t>
  </si>
  <si>
    <t>-1508.8,912.28,180.82,85.04</t>
  </si>
  <si>
    <t>🚗 QG 31 | BENNYS | DESMANCHE DE CARROS 🚗</t>
  </si>
  <si>
    <r>
      <rPr>
        <rFont val="inherit"/>
        <b/>
        <color rgb="FF1155CC"/>
        <sz val="16.0"/>
        <u/>
      </rPr>
      <t>https://discord.gg/HcvqkCkHRJ</t>
    </r>
  </si>
  <si>
    <t>-242.26, -1305.69, 31.31, 277.80</t>
  </si>
  <si>
    <t>-208.08, -1341.99, 34.90, 187.09</t>
  </si>
  <si>
    <t>-196.37, -1318.73, 31.10, 272.13</t>
  </si>
  <si>
    <t>-216.35,-1317.86,30.89,90.71</t>
  </si>
  <si>
    <t>-232.31,-1310.83,31.29,34.02</t>
  </si>
  <si>
    <t>-249.70, -1297.62, 31.24, 87.88</t>
  </si>
  <si>
    <t>-173.31,-1294.14,31.26,34.02</t>
  </si>
  <si>
    <t>-214.58, -1314.18, 34.69, 184.26</t>
  </si>
  <si>
    <t>💵 QG 32 | BANZAS | LAVAGEM DE DINHEIRO 💵</t>
  </si>
  <si>
    <r>
      <rPr>
        <rFont val="inherit"/>
        <b/>
        <color rgb="FF1155CC"/>
        <sz val="16.0"/>
        <u/>
      </rPr>
      <t>https://discord.gg/dHPH5HU5TK</t>
    </r>
  </si>
  <si>
    <t>758.44,-976.53,25.29,79.38</t>
  </si>
  <si>
    <t>711.28, -972.98, 30.40, 87.88</t>
  </si>
  <si>
    <t>708.69, -966.93, 30.40, 266.40</t>
  </si>
  <si>
    <t>720.98, -965.68, 30.40, 269.30</t>
  </si>
  <si>
    <t>710.11, -977.22, 24.13, 14.18</t>
  </si>
  <si>
    <t>739.22, -970.20, 24.65, 87.88</t>
  </si>
  <si>
    <t xml:space="preserve"> Hanna</t>
  </si>
  <si>
    <t>470725038849392650</t>
  </si>
  <si>
    <t>754.15, -975.09, 24.99, 0.00</t>
  </si>
  <si>
    <t>Luiz</t>
  </si>
  <si>
    <t>1394817922236420188</t>
  </si>
  <si>
    <t>Tony</t>
  </si>
  <si>
    <t>1236382663443615869</t>
  </si>
  <si>
    <t>731.82, -978.77, 24.25, 59.53</t>
  </si>
  <si>
    <t>Notopo</t>
  </si>
  <si>
    <t>1110820052007133205</t>
  </si>
  <si>
    <t>718.51, -973.71, 30.40, 85.04</t>
  </si>
  <si>
    <t>🔫 QG 33 | MOSCOU | PRODUÇÃO DE ARMAS 🔫</t>
  </si>
  <si>
    <r>
      <rPr>
        <rFont val="inherit"/>
        <b/>
        <color rgb="FF1155CC"/>
        <sz val="16.0"/>
        <u/>
      </rPr>
      <t>https://discord.gg/sHCYTwV6UG</t>
    </r>
  </si>
  <si>
    <t>1035.82, 3294.95, 46.15, 274.97</t>
  </si>
  <si>
    <t>1049.02, 3332.80, 46.81, 277.80</t>
  </si>
  <si>
    <t>1045.97, 3330.37, 50.13, 192.76</t>
  </si>
  <si>
    <t>1048.29, 3331.84, 46.72, 192.76</t>
  </si>
  <si>
    <t>1060.69, 3284.89, 49.07, 85.04</t>
  </si>
  <si>
    <t>1064.08, 3318.48, 44.31, 11.34</t>
  </si>
  <si>
    <t>1091.36, 3258.99, 37.68, 291.97</t>
  </si>
  <si>
    <t>1111.76,3458.37,33.75,323.15</t>
  </si>
  <si>
    <t>1061.60, 3244.37, 37.74, 294.81</t>
  </si>
  <si>
    <t>1082.11, 3275.85, 41.13, 31.19</t>
  </si>
  <si>
    <t>🍁 QG 34 | PORTUGAL | PRODUÇÃO DE MACONHA 🍁</t>
  </si>
  <si>
    <t>https://discord.gg/kTYarDQ7</t>
  </si>
  <si>
    <t>1049.41, 2676.11, 39.55, 345.83</t>
  </si>
  <si>
    <t>1035.74, 2660.48, 39.56, 82.21</t>
  </si>
  <si>
    <t>1050.61, 2655.02, 39.56, 104.89</t>
  </si>
  <si>
    <t>1043.23, 2653.67, 39.56, 289.14</t>
  </si>
  <si>
    <t>1035.68, 2663.35, 39.56, 85.04</t>
  </si>
  <si>
    <t>1046.25, 2662.83, 39.55, 181.42</t>
  </si>
  <si>
    <t>1058.25, 2675.78, 39.28, 82.21</t>
  </si>
  <si>
    <t>1044.45, 2679.09, 39.26, 263.63</t>
  </si>
  <si>
    <t>1045.56, 2660.62, 39.56, 0.00</t>
  </si>
  <si>
    <t>🧂 QG 35 | SINALOA | PRODUÇÃO DE COCAÍNA 🧂</t>
  </si>
  <si>
    <t>https://discord.gg/wUSM4jKde</t>
  </si>
  <si>
    <t>2123.99, 4803.08, 41.11, 187.09</t>
  </si>
  <si>
    <t>2141.02, 4777.24, 43.46, 14.18</t>
  </si>
  <si>
    <t>2122.09, 4785.82, 40.96, 14.18</t>
  </si>
  <si>
    <t>2124.82, 4771.80, 40.96, 107.72</t>
  </si>
  <si>
    <t>2104.55, 4797.92, 41.06, 201.26</t>
  </si>
  <si>
    <t>2154.33, 4813.06, 41.40, 272.13</t>
  </si>
  <si>
    <t>2111.23, 4782.22, 41.08, 2.84</t>
  </si>
  <si>
    <t>2143.44, 4771.57, 43.46, 25.52</t>
  </si>
  <si>
    <t>🚗 QG 36 | BROOKLYN | DESMANCHE DE CARROS 🚗</t>
  </si>
  <si>
    <r>
      <rPr>
        <rFont val="inherit"/>
        <b/>
        <color rgb="FF1155CC"/>
        <sz val="16.0"/>
        <u/>
      </rPr>
      <t>https://discord.gg/Y52cjMrmT9</t>
    </r>
  </si>
  <si>
    <t>1956.26, 3864.12, 32.07, 42.52</t>
  </si>
  <si>
    <t>1957.06, 3843.12, 36.31, 209.77</t>
  </si>
  <si>
    <t>1949.16, 3847.44, 36.31, 212.60</t>
  </si>
  <si>
    <t>1942.12, 3837.57, 36.31, 124.73</t>
  </si>
  <si>
    <t>1963.75,3846.11,32.01,189.93</t>
  </si>
  <si>
    <t>1951.4,3866.02,32.25,124.73</t>
  </si>
  <si>
    <t>1966.87, 3867.29, 32.28, 124.73</t>
  </si>
  <si>
    <t>1958.87, 3841.28, 31.90, 221.11</t>
  </si>
  <si>
    <t>🍁 QG 37 | GROVE | PRODUÇÃO DE MACONHA 🍁</t>
  </si>
  <si>
    <r>
      <rPr>
        <rFont val="inherit"/>
        <b/>
        <color rgb="FF1155CC"/>
        <sz val="16.0"/>
        <u/>
      </rPr>
      <t>https://discord.gg/ynDvDEdsnf</t>
    </r>
  </si>
  <si>
    <t>-53.51, -1831.71, 26.62, 306.15</t>
  </si>
  <si>
    <t>-133.00, -1783.10, 24.57, 45.36</t>
  </si>
  <si>
    <t>-115.06, -1782.80, 28.58, 48.19</t>
  </si>
  <si>
    <t>-106.56, -1805.16, 31.09, 127.56</t>
  </si>
  <si>
    <t>-106.70, -1798.03, 26.91, 320.32</t>
  </si>
  <si>
    <t>-75.34,-1835.38,26.94,136.07</t>
  </si>
  <si>
    <t>-91.19,-1825.05,26.91,320.32</t>
  </si>
  <si>
    <t>-54.11,-1825.7,26.76,119.06</t>
  </si>
  <si>
    <t>-40.85, -1836.92, 26.15, 96.38</t>
  </si>
  <si>
    <t>-105.92, -1795.92, 31.09, 56.70</t>
  </si>
  <si>
    <t>🚗 QG 38 | CHERNOBYL | DESMANCHE DE CARROS 🚗</t>
  </si>
  <si>
    <r>
      <rPr>
        <rFont val="inherit"/>
        <b/>
        <color rgb="FF1155CC"/>
        <sz val="16.0"/>
        <u/>
      </rPr>
      <t>https://discord.gg/Vqrc8H687q</t>
    </r>
  </si>
  <si>
    <t>968.21, -1822.36, 31.09, 31.19</t>
  </si>
  <si>
    <t>979.30, -1831.23, 36.13, 263.63</t>
  </si>
  <si>
    <t>973.93, -1842.56, 31.24, 252.29</t>
  </si>
  <si>
    <t>972.16, -1847.76, 31.27, 263.63</t>
  </si>
  <si>
    <t>964.4,-1812.21,31.16,354.34</t>
  </si>
  <si>
    <t>956.38, -1869.74, 31.16, 73.71</t>
  </si>
  <si>
    <t>958.70, -1844.00, 31.22, 76.54</t>
  </si>
  <si>
    <t>🔫 QG 40 | FAZENDINHA | PRODUÇÃO DE ARMAS 🔫</t>
  </si>
  <si>
    <r>
      <rPr>
        <rFont val="inherit"/>
        <b/>
        <color rgb="FF1155CC"/>
        <sz val="16.0"/>
        <u/>
      </rPr>
      <t>https://discord.gg/FnE3TREC3k</t>
    </r>
  </si>
  <si>
    <t>1307.44, 1104.26, 105.63, 53.86</t>
  </si>
  <si>
    <t>1488.43, 1127.31, 114.36, 252.29</t>
  </si>
  <si>
    <t>1403.68,1144.63,114.33,172.92</t>
  </si>
  <si>
    <t>1394.87, 1150.13, 114.33, 0.00</t>
  </si>
  <si>
    <t>1399.98, 1139.46, 114.33, 300.48</t>
  </si>
  <si>
    <t>1400.81, 1128.03, 114.33, 0.00</t>
  </si>
  <si>
    <t>1369.07, 1158.27, 113.75, 294.81</t>
  </si>
  <si>
    <t>1308.10, 1093.34, 105.51, 93.55</t>
  </si>
  <si>
    <t>1371.92, 1139.52, 113.80, 42.52</t>
  </si>
  <si>
    <t>1402.16, 1132.48, 114.33, 82.21</t>
  </si>
  <si>
    <t>🚗 QG 41 | REDLINE | DESMANCHE DE CARROS 🚗</t>
  </si>
  <si>
    <r>
      <rPr>
        <rFont val="inherit"/>
        <b/>
        <color rgb="FF1155CC"/>
        <sz val="16.0"/>
        <u/>
      </rPr>
      <t>https://discord.gg/ZdJer34M7x</t>
    </r>
  </si>
  <si>
    <t>2758.71, 3469.92, 55.69, 56.70</t>
  </si>
  <si>
    <t>2747.21, 3511.28, 55.25, 42.52</t>
  </si>
  <si>
    <t>2752.99, 3499.82, 55.25, 229.61</t>
  </si>
  <si>
    <t>2726.73, 3505.36, 55.25, 150.24</t>
  </si>
  <si>
    <t>2747.70, 3464.83, 55.71, 238.12</t>
  </si>
  <si>
    <t>2752.62,3478.11,55.67,269.3</t>
  </si>
  <si>
    <t>LOJA DA FAC:</t>
  </si>
  <si>
    <t>2745.2,3481.09,55.25,257.96</t>
  </si>
  <si>
    <t>🧂 QG 42 | SUIÇA | PRODUÇÃO DE COCAÍNA 🧂</t>
  </si>
  <si>
    <r>
      <rPr>
        <rFont val="inherit"/>
        <b/>
        <color rgb="FF1155CC"/>
        <sz val="16.0"/>
        <u/>
      </rPr>
      <t>https://discord.gg/z9xwp8gYsu</t>
    </r>
  </si>
  <si>
    <t>-183.36, 1904.26, 198.09, 79.38</t>
  </si>
  <si>
    <t>-201.58, 1910.95, 195.83, 340.16</t>
  </si>
  <si>
    <t>-243.16, 1914.27, 190.05, 144.57</t>
  </si>
  <si>
    <t>-225.24, 1918.04, 192.98, 340.16</t>
  </si>
  <si>
    <t>-210.89, 1914.86, 194.85, 351.50</t>
  </si>
  <si>
    <t>-189.60, 1886.17, 198.10, 221.11</t>
  </si>
  <si>
    <t>-174.14,1911.99,197.9,45.36</t>
  </si>
  <si>
    <t>-311.73, 2052.21, 144.23</t>
  </si>
  <si>
    <t>-171.17, 1894.30, 198.22</t>
  </si>
  <si>
    <t>-304.4,2046.89,144.37,212.6</t>
  </si>
  <si>
    <t>-194.96, 1914.80, 197.11, 2.84</t>
  </si>
  <si>
    <t xml:space="preserve">🔫 QG 43 | TEQUILAS | PRODUÇÃO DE MUNIÇÃO 🔫 </t>
  </si>
  <si>
    <r>
      <rPr>
        <rFont val="inherit"/>
        <b/>
        <color rgb="FF1155CC"/>
        <sz val="16.0"/>
        <u/>
      </rPr>
      <t>https://discord.gg/Ch7RftJpQW</t>
    </r>
  </si>
  <si>
    <t>-552.07,326.25,84.1,150.24</t>
  </si>
  <si>
    <t>-571.72,289.13,79.18,266.46</t>
  </si>
  <si>
    <t>-572.13,293.68,79.18,354.34</t>
  </si>
  <si>
    <t>-561.77,281.56,85.68,184.26</t>
  </si>
  <si>
    <t>-558.07,277.73,82.18,167.25</t>
  </si>
  <si>
    <t>-568.4,291.13,79.18,170.08</t>
  </si>
  <si>
    <t>-562.48,339.92,84.4,175.75</t>
  </si>
  <si>
    <t>-561.77,270.24,83.02,167.25</t>
  </si>
  <si>
    <t>-576.34,341.07,84.7,221.11</t>
  </si>
  <si>
    <t>-572.59,286.46,79.18,17.01</t>
  </si>
  <si>
    <t>💵 LAVAGEM QG 45 | CROACIA | LAVAGEM 💵</t>
  </si>
  <si>
    <r>
      <rPr>
        <rFont val="inherit"/>
        <b/>
        <color rgb="FF1155CC"/>
        <sz val="16.0"/>
        <u/>
      </rPr>
      <t>https://discord.gg/qwmr86w9Gm</t>
    </r>
  </si>
  <si>
    <t>-1151.69,2614.86,16.82,0.0</t>
  </si>
  <si>
    <t>-994.61,2645.32,64.48,303.31</t>
  </si>
  <si>
    <t>-984.19,2650.13,64.5,76.54</t>
  </si>
  <si>
    <t>-958.76,2627.79,65.09,218.27</t>
  </si>
  <si>
    <t>-981.29,2631.88,64.5,130.4</t>
  </si>
  <si>
    <t>-963.56,2635.22,64.5,17.01</t>
  </si>
  <si>
    <t>-987.91,2635.14,64.5,93.55</t>
  </si>
  <si>
    <t>-1167.11,2608.66,15.39</t>
  </si>
  <si>
    <t>-975.04,2710.07,38.94</t>
  </si>
  <si>
    <t>-990.59,2641.14,64.5</t>
  </si>
  <si>
    <t>-1158.81,2618.91,15.58</t>
  </si>
  <si>
    <t>-971.09,2627.16,64.5,0.0</t>
  </si>
  <si>
    <t>💵 QG 46 | CAPELINHA | LAVAGEM DE DINHEIRO 💵</t>
  </si>
  <si>
    <r>
      <rPr>
        <rFont val="inherit"/>
        <b/>
        <color rgb="FF1155CC"/>
        <sz val="16.0"/>
        <u/>
      </rPr>
      <t>https://discord.gg/N7u5Y84z</t>
    </r>
  </si>
  <si>
    <t>-766.23,-24.38,41.08,206.93</t>
  </si>
  <si>
    <t>-783.53,-698.76,25.71,209.77</t>
  </si>
  <si>
    <t>-751.45,-720.14,29.05</t>
  </si>
  <si>
    <t>-759.43,-734.16,27.96</t>
  </si>
  <si>
    <t>-794.18,-731.8,27.41,274.97</t>
  </si>
  <si>
    <t>🔫 QG 39 | DUBAI | PRODUÇÃO DE ARMAS 🔫 ( COMERCIAL )</t>
  </si>
  <si>
    <t>-3317.12,495.87,11.85,102.05</t>
  </si>
  <si>
    <t>-2213.94,-270.22,42.51,155.91</t>
  </si>
  <si>
    <t>"-3325.05,493.35,13.87,119.06" Verificar</t>
  </si>
  <si>
    <t>-3306.32,491.85,11.47,266.46</t>
  </si>
  <si>
    <t>🧂 QG 22 | ALEMANHA | PRODUÇÃO DE COCAÍNA 🧂 ( COMERCIAL )</t>
  </si>
  <si>
    <t>1962.31,3328.49,47.04,68.04</t>
  </si>
  <si>
    <t>2009.95,3376.86,51.59,167.25</t>
  </si>
  <si>
    <t>2021.74,3370.13,51.75,0.0</t>
  </si>
  <si>
    <t>2015.77,3338.1,46.2,274.97</t>
  </si>
  <si>
    <t>2010.41,3359.48,46.59,184.26</t>
  </si>
  <si>
    <t>2022.51,3374.4,46.59,274.97</t>
  </si>
  <si>
    <t>"1988.8,3330.52,47.3,121.89" Verificar</t>
  </si>
  <si>
    <t>2048.52,3366.23,45.63,354.34</t>
  </si>
  <si>
    <t>2030.13,3356.15,46.79,257.96</t>
  </si>
  <si>
    <t>2003.27,3354.12,51.59,320.32</t>
  </si>
  <si>
    <t>🔫 QG 23 | CALIFORNIA | PRODUÇÃO DE ARMAS 🔫 ( COMERCIAL )</t>
  </si>
  <si>
    <r>
      <rPr>
        <rFont val="inherit"/>
        <b/>
        <color rgb="FF1155CC"/>
        <sz val="16.0"/>
        <u/>
      </rPr>
      <t>https://discord.gg/quW6DzKSf</t>
    </r>
  </si>
  <si>
    <t>-1550.36,119.21,57.63,53.86</t>
  </si>
  <si>
    <t>-1505.6,97.92,55.77,51.03</t>
  </si>
  <si>
    <t>-1541.2,92.02,57.95,133.23</t>
  </si>
  <si>
    <t>-1541.45,92.08,53.9,138.9</t>
  </si>
  <si>
    <t>-1570.66,127.43,58.4,357.17</t>
  </si>
  <si>
    <t>nao tem</t>
  </si>
  <si>
    <t>-1531.62,80.1,56.73,136.07</t>
  </si>
  <si>
    <t>-1467.08,70.2,53.35,178.59</t>
  </si>
  <si>
    <t>-1617.2,83.33,61.7,255.12</t>
  </si>
  <si>
    <t>-1608.65,81.04,61.47,82.21</t>
  </si>
  <si>
    <t>-1475.67,69.97,53.53,269.3</t>
  </si>
  <si>
    <t>-1536.94,130.49,57.37,136.07</t>
  </si>
  <si>
    <t>🔫 44 | YAKUZA | PRODUÇÃO DE MUNIÇÃO🔫 ( COMERCIAL )</t>
  </si>
  <si>
    <r>
      <rPr>
        <rFont val="inherit"/>
        <b/>
        <color rgb="FF1155CC"/>
        <sz val="16.0"/>
        <u/>
      </rPr>
      <t>https://discord.gg/TvR6Abfz</t>
    </r>
  </si>
  <si>
    <t>-3291.92,1137.41,5.19,198.43</t>
  </si>
  <si>
    <t>-3366.47,1134.36,9.65,266.46</t>
  </si>
  <si>
    <t>-3361.76,1134.32,9.65,257.96</t>
  </si>
  <si>
    <t>-3377.53,1151.19,5.26,73.71</t>
  </si>
  <si>
    <t>-3362.71,1166.99,5.26,351.5</t>
  </si>
  <si>
    <t>-3365.45,1165.47,9.65,257.96</t>
  </si>
  <si>
    <t>-3274.03,1150.95,5.21,76.54</t>
  </si>
  <si>
    <t>-3271.72,1163.7,5.19,73.71</t>
  </si>
  <si>
    <t>-3368.33,1136.09,5.26,2.84</t>
  </si>
  <si>
    <t>ID DISCORD 00 REMOVIDOS</t>
  </si>
  <si>
    <t>723205644899057716</t>
  </si>
  <si>
    <t>FALLING GP</t>
  </si>
  <si>
    <t>336891495212777474</t>
  </si>
  <si>
    <t>PABLO JULIÃO</t>
  </si>
  <si>
    <t>735264209104928818</t>
  </si>
  <si>
    <t>KNOVE DAGP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</si>
</sst>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"/>
  </numFmts>
  <fonts count="54">
    <font>
      <sz val="10.0"/>
      <color rgb="FF000000"/>
      <name val="Arial"/>
      <scheme val="minor"/>
    </font>
    <font>
      <b/>
      <color rgb="FFFFFFFF"/>
      <name val="Arial"/>
    </font>
    <font>
      <b/>
      <sz val="14.0"/>
      <color rgb="FFFFFFFF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color theme="1"/>
      <name val="Arial"/>
    </font>
    <font/>
    <font>
      <b/>
      <sz val="10.0"/>
      <color rgb="FFFFFFFF"/>
      <name val="Arial"/>
    </font>
    <font>
      <b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1.0"/>
      <color rgb="FF000000"/>
      <name val="Google Sans"/>
    </font>
    <font>
      <sz val="10.0"/>
      <color rgb="FF000000"/>
      <name val="Google Sans"/>
    </font>
    <font>
      <b/>
      <sz val="11.0"/>
      <color rgb="FF444746"/>
      <name val="Google Sans"/>
    </font>
    <font>
      <color rgb="FF000000"/>
      <name val="Arial"/>
    </font>
    <font>
      <b/>
      <color theme="0"/>
      <name val="Arial"/>
    </font>
    <font>
      <b/>
      <sz val="14.0"/>
      <color theme="0"/>
      <name val="Arial"/>
    </font>
    <font>
      <b/>
      <sz val="20.0"/>
      <color theme="1"/>
      <name val="Arial"/>
    </font>
    <font>
      <b/>
      <sz val="20.0"/>
      <color rgb="FF000000"/>
      <name val="Arial"/>
    </font>
    <font>
      <b/>
      <sz val="10.0"/>
      <color rgb="FF000000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6.0"/>
      <color rgb="FFFFFFFF"/>
      <name val="Arial"/>
    </font>
    <font>
      <b/>
      <sz val="17.0"/>
      <color theme="0"/>
      <name val="Arial"/>
    </font>
    <font>
      <b/>
      <sz val="18.0"/>
      <color rgb="FFFFFFFF"/>
      <name val="Arial"/>
    </font>
    <font>
      <b/>
      <sz val="16.0"/>
      <color rgb="FF000000"/>
      <name val="Arial"/>
    </font>
    <font>
      <b/>
      <u/>
      <sz val="17.0"/>
      <color rgb="FF0000FF"/>
      <name val="Arial"/>
    </font>
    <font>
      <sz val="16.0"/>
      <color theme="1"/>
      <name val="Arial"/>
    </font>
    <font>
      <b/>
      <u/>
      <sz val="17.0"/>
      <color rgb="FF0000FF"/>
      <name val="Arial"/>
    </font>
    <font>
      <b/>
      <u/>
      <sz val="17.0"/>
      <color rgb="FF0000FF"/>
      <name val="Arial"/>
    </font>
    <font>
      <b/>
      <u/>
      <sz val="17.0"/>
      <color rgb="FF0000FF"/>
      <name val="Arial"/>
    </font>
    <font>
      <b/>
      <u/>
      <sz val="17.0"/>
      <color rgb="FF0000FF"/>
    </font>
    <font>
      <b/>
      <u/>
      <sz val="17.0"/>
      <color rgb="FF0000FF"/>
    </font>
    <font>
      <b/>
      <u/>
      <sz val="17.0"/>
      <color rgb="FF0000FF"/>
    </font>
    <font>
      <b/>
      <u/>
      <sz val="18.0"/>
      <color rgb="FFFFFFFF"/>
    </font>
    <font>
      <sz val="13.0"/>
      <color theme="1"/>
      <name val="Arial"/>
    </font>
    <font>
      <b/>
      <sz val="16.0"/>
      <color theme="1"/>
      <name val="Arial"/>
    </font>
    <font>
      <b/>
      <u/>
      <sz val="16.0"/>
      <color rgb="FF0000FF"/>
    </font>
    <font>
      <b/>
      <i/>
      <sz val="16.0"/>
      <color rgb="FF1F1F1F"/>
      <name val="Roboto"/>
    </font>
    <font>
      <sz val="18.0"/>
      <color theme="1"/>
      <name val="Arial"/>
    </font>
    <font>
      <b/>
      <sz val="18.0"/>
      <color theme="1"/>
      <name val="Arial"/>
    </font>
    <font>
      <b/>
      <sz val="16.0"/>
      <color theme="1"/>
      <name val="&quot;gg sans&quot;"/>
    </font>
    <font>
      <b/>
      <u/>
      <sz val="16.0"/>
      <color rgb="FF0000FF"/>
    </font>
    <font>
      <b/>
      <u/>
      <sz val="16.0"/>
      <color rgb="FF0000FF"/>
    </font>
    <font>
      <b/>
      <u/>
      <sz val="16.0"/>
      <color rgb="FF0000FF"/>
      <name val="&quot;gg sans&quot;"/>
    </font>
    <font>
      <b/>
      <sz val="13.0"/>
      <color theme="1"/>
      <name val="Arial"/>
    </font>
    <font>
      <b/>
      <sz val="15.0"/>
      <color rgb="FFFFFFFF"/>
      <name val="Arial"/>
    </font>
    <font>
      <b/>
      <sz val="15.0"/>
      <color theme="1"/>
      <name val="Arial"/>
    </font>
    <font>
      <b/>
      <u/>
      <sz val="15.0"/>
      <color rgb="FF0000FF"/>
    </font>
    <font>
      <b/>
      <sz val="15.0"/>
      <color theme="1"/>
      <name val="&quot;gg sans&quot;"/>
    </font>
    <font>
      <b/>
      <u/>
      <sz val="16.0"/>
      <color rgb="FF0000FF"/>
    </font>
    <font>
      <sz val="9.0"/>
      <color theme="1"/>
      <name val="&quot;gg mono&quot;"/>
    </font>
    <font>
      <b/>
      <sz val="16.0"/>
      <color theme="1"/>
      <name val="&quot;gg mono&quot;"/>
    </font>
  </fonts>
  <fills count="1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6309A0"/>
        <bgColor rgb="FF6309A0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3" fillId="0" fontId="6" numFmtId="0" xfId="0" applyBorder="1" applyFont="1"/>
    <xf borderId="2" fillId="2" fontId="1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1" fillId="6" fontId="1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left" vertical="bottom"/>
    </xf>
    <xf borderId="2" fillId="7" fontId="10" numFmtId="0" xfId="0" applyAlignment="1" applyBorder="1" applyFill="1" applyFont="1">
      <alignment horizontal="center" vertical="bottom"/>
    </xf>
    <xf borderId="2" fillId="0" fontId="11" numFmtId="0" xfId="0" applyBorder="1" applyFont="1"/>
    <xf borderId="2" fillId="0" fontId="11" numFmtId="0" xfId="0" applyAlignment="1" applyBorder="1" applyFont="1">
      <alignment horizontal="left"/>
    </xf>
    <xf borderId="4" fillId="0" fontId="6" numFmtId="0" xfId="0" applyBorder="1" applyFont="1"/>
    <xf borderId="2" fillId="7" fontId="9" numFmtId="0" xfId="0" applyAlignment="1" applyBorder="1" applyFont="1">
      <alignment horizontal="left" vertical="bottom"/>
    </xf>
    <xf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left" vertical="bottom"/>
    </xf>
    <xf borderId="5" fillId="8" fontId="1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1" fillId="8" fontId="1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/>
    </xf>
    <xf borderId="2" fillId="7" fontId="12" numFmtId="0" xfId="0" applyAlignment="1" applyBorder="1" applyFont="1">
      <alignment horizontal="center" vertical="center"/>
    </xf>
    <xf borderId="2" fillId="7" fontId="13" numFmtId="0" xfId="0" applyAlignment="1" applyBorder="1" applyFon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2" fillId="7" fontId="14" numFmtId="0" xfId="0" applyAlignment="1" applyBorder="1" applyFont="1">
      <alignment horizontal="center"/>
    </xf>
    <xf borderId="2" fillId="4" fontId="9" numFmtId="0" xfId="0" applyAlignment="1" applyBorder="1" applyFont="1">
      <alignment horizontal="left" vertical="bottom"/>
    </xf>
    <xf borderId="5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5" fillId="11" fontId="1" numFmtId="0" xfId="0" applyAlignment="1" applyBorder="1" applyFill="1" applyFont="1">
      <alignment horizontal="center" vertical="center"/>
    </xf>
    <xf borderId="1" fillId="11" fontId="1" numFmtId="0" xfId="0" applyAlignment="1" applyBorder="1" applyFont="1">
      <alignment horizontal="center" vertical="center"/>
    </xf>
    <xf borderId="5" fillId="12" fontId="1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bottom"/>
    </xf>
    <xf borderId="2" fillId="0" fontId="15" numFmtId="0" xfId="0" applyBorder="1" applyFont="1"/>
    <xf borderId="2" fillId="0" fontId="15" numFmtId="0" xfId="0" applyAlignment="1" applyBorder="1" applyFont="1">
      <alignment horizontal="left"/>
    </xf>
    <xf borderId="5" fillId="13" fontId="1" numFmtId="0" xfId="0" applyAlignment="1" applyBorder="1" applyFill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vertical="bottom"/>
    </xf>
    <xf borderId="2" fillId="4" fontId="15" numFmtId="0" xfId="0" applyBorder="1" applyFont="1"/>
    <xf borderId="2" fillId="4" fontId="15" numFmtId="0" xfId="0" applyAlignment="1" applyBorder="1" applyFont="1">
      <alignment horizontal="left"/>
    </xf>
    <xf borderId="2" fillId="4" fontId="11" numFmtId="0" xfId="0" applyBorder="1" applyFont="1"/>
    <xf borderId="2" fillId="0" fontId="5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left"/>
    </xf>
    <xf borderId="8" fillId="2" fontId="1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2" fillId="11" fontId="17" numFmtId="0" xfId="0" applyAlignment="1" applyBorder="1" applyFont="1">
      <alignment horizontal="center" vertical="center"/>
    </xf>
    <xf borderId="5" fillId="11" fontId="17" numFmtId="0" xfId="0" applyAlignment="1" applyBorder="1" applyFont="1">
      <alignment horizontal="center" vertical="center"/>
    </xf>
    <xf borderId="9" fillId="0" fontId="6" numFmtId="0" xfId="0" applyBorder="1" applyFont="1"/>
    <xf borderId="5" fillId="0" fontId="18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8" fillId="14" fontId="19" numFmtId="0" xfId="0" applyAlignment="1" applyBorder="1" applyFill="1" applyFont="1">
      <alignment horizontal="center" vertical="center"/>
    </xf>
    <xf borderId="10" fillId="0" fontId="6" numFmtId="0" xfId="0" applyBorder="1" applyFont="1"/>
    <xf borderId="5" fillId="3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11" fillId="2" fontId="1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14" fontId="9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bottom"/>
    </xf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left"/>
    </xf>
    <xf borderId="2" fillId="7" fontId="2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/>
    </xf>
    <xf borderId="0" fillId="0" fontId="21" numFmtId="0" xfId="0" applyAlignment="1" applyFont="1">
      <alignment horizontal="left"/>
    </xf>
    <xf borderId="2" fillId="0" fontId="22" numFmtId="0" xfId="0" applyAlignment="1" applyBorder="1" applyFont="1">
      <alignment horizontal="center" vertical="bottom"/>
    </xf>
    <xf borderId="2" fillId="7" fontId="20" numFmtId="0" xfId="0" applyAlignment="1" applyBorder="1" applyFont="1">
      <alignment horizontal="center"/>
    </xf>
    <xf borderId="2" fillId="4" fontId="20" numFmtId="0" xfId="0" applyAlignment="1" applyBorder="1" applyFont="1">
      <alignment horizontal="center" vertical="bottom"/>
    </xf>
    <xf borderId="2" fillId="7" fontId="20" numFmtId="0" xfId="0" applyAlignment="1" applyBorder="1" applyFont="1">
      <alignment horizontal="center" vertical="center"/>
    </xf>
    <xf borderId="2" fillId="0" fontId="10" numFmtId="4" xfId="0" applyAlignment="1" applyBorder="1" applyFont="1" applyNumberFormat="1">
      <alignment horizontal="center"/>
    </xf>
    <xf borderId="2" fillId="4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/>
    </xf>
    <xf borderId="2" fillId="7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2" fillId="11" fontId="5" numFmtId="0" xfId="0" applyAlignment="1" applyBorder="1" applyFont="1">
      <alignment horizontal="center"/>
    </xf>
    <xf borderId="0" fillId="11" fontId="5" numFmtId="0" xfId="0" applyAlignment="1" applyFont="1">
      <alignment horizontal="center"/>
    </xf>
    <xf borderId="2" fillId="15" fontId="10" numFmtId="0" xfId="0" applyAlignment="1" applyBorder="1" applyFill="1" applyFont="1">
      <alignment horizontal="center" vertical="bottom"/>
    </xf>
    <xf borderId="0" fillId="15" fontId="11" numFmtId="0" xfId="0" applyAlignment="1" applyFont="1">
      <alignment horizontal="center"/>
    </xf>
    <xf borderId="2" fillId="15" fontId="10" numFmtId="0" xfId="0" applyAlignment="1" applyBorder="1" applyFont="1">
      <alignment horizontal="center"/>
    </xf>
    <xf borderId="2" fillId="15" fontId="10" numFmtId="164" xfId="0" applyAlignment="1" applyBorder="1" applyFont="1" applyNumberFormat="1">
      <alignment horizontal="center"/>
    </xf>
    <xf borderId="2" fillId="16" fontId="20" numFmtId="0" xfId="0" applyAlignment="1" applyBorder="1" applyFill="1" applyFont="1">
      <alignment horizontal="center" vertical="center"/>
    </xf>
    <xf borderId="2" fillId="15" fontId="10" numFmtId="4" xfId="0" applyAlignment="1" applyBorder="1" applyFont="1" applyNumberFormat="1">
      <alignment horizontal="center"/>
    </xf>
    <xf borderId="2" fillId="16" fontId="20" numFmtId="0" xfId="0" applyAlignment="1" applyBorder="1" applyFont="1">
      <alignment horizontal="center"/>
    </xf>
    <xf borderId="0" fillId="16" fontId="5" numFmtId="0" xfId="0" applyAlignment="1" applyFont="1">
      <alignment horizontal="center"/>
    </xf>
    <xf borderId="2" fillId="0" fontId="15" numFmtId="0" xfId="0" applyAlignment="1" applyBorder="1" applyFont="1">
      <alignment horizontal="center" vertical="center"/>
    </xf>
    <xf borderId="2" fillId="15" fontId="11" numFmtId="0" xfId="0" applyBorder="1" applyFont="1"/>
    <xf borderId="2" fillId="11" fontId="2" numFmtId="0" xfId="0" applyAlignment="1" applyBorder="1" applyFont="1">
      <alignment horizontal="center" vertical="center"/>
    </xf>
    <xf borderId="5" fillId="16" fontId="23" numFmtId="0" xfId="0" applyAlignment="1" applyBorder="1" applyFont="1">
      <alignment horizontal="center" vertical="center"/>
    </xf>
    <xf borderId="5" fillId="2" fontId="24" numFmtId="0" xfId="0" applyAlignment="1" applyBorder="1" applyFont="1">
      <alignment horizontal="center" vertical="center"/>
    </xf>
    <xf borderId="5" fillId="4" fontId="18" numFmtId="0" xfId="0" applyAlignment="1" applyBorder="1" applyFont="1">
      <alignment horizontal="center" vertical="center"/>
    </xf>
    <xf borderId="11" fillId="2" fontId="25" numFmtId="0" xfId="0" applyAlignment="1" applyBorder="1" applyFont="1">
      <alignment horizontal="center" vertical="center"/>
    </xf>
    <xf borderId="3" fillId="2" fontId="25" numFmtId="0" xfId="0" applyAlignment="1" applyBorder="1" applyFont="1">
      <alignment horizontal="center" vertical="center"/>
    </xf>
    <xf borderId="2" fillId="2" fontId="25" numFmtId="0" xfId="0" applyAlignment="1" applyBorder="1" applyFont="1">
      <alignment horizontal="center" vertical="center"/>
    </xf>
    <xf borderId="5" fillId="14" fontId="19" numFmtId="0" xfId="0" applyAlignment="1" applyBorder="1" applyFont="1">
      <alignment horizontal="center" vertical="center"/>
    </xf>
    <xf borderId="2" fillId="4" fontId="26" numFmtId="0" xfId="0" applyAlignment="1" applyBorder="1" applyFont="1">
      <alignment horizontal="center" vertical="center"/>
    </xf>
    <xf borderId="2" fillId="14" fontId="26" numFmtId="0" xfId="0" applyAlignment="1" applyBorder="1" applyFont="1">
      <alignment horizontal="center" vertical="center"/>
    </xf>
    <xf borderId="2" fillId="7" fontId="27" numFmtId="0" xfId="0" applyAlignment="1" applyBorder="1" applyFont="1">
      <alignment horizontal="center" vertical="center"/>
    </xf>
    <xf borderId="2" fillId="0" fontId="28" numFmtId="0" xfId="0" applyBorder="1" applyFont="1"/>
    <xf borderId="5" fillId="0" fontId="11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/>
    </xf>
    <xf borderId="2" fillId="7" fontId="29" numFmtId="0" xfId="0" applyAlignment="1" applyBorder="1" applyFont="1">
      <alignment horizontal="center"/>
    </xf>
    <xf borderId="2" fillId="16" fontId="30" numFmtId="0" xfId="0" applyAlignment="1" applyBorder="1" applyFont="1">
      <alignment horizontal="center" vertical="center"/>
    </xf>
    <xf borderId="2" fillId="4" fontId="28" numFmtId="0" xfId="0" applyBorder="1" applyFont="1"/>
    <xf borderId="2" fillId="16" fontId="31" numFmtId="0" xfId="0" applyAlignment="1" applyBorder="1" applyFont="1">
      <alignment horizontal="center"/>
    </xf>
    <xf borderId="2" fillId="0" fontId="26" numFmtId="0" xfId="0" applyAlignment="1" applyBorder="1" applyFont="1">
      <alignment horizontal="center" vertical="center"/>
    </xf>
    <xf borderId="2" fillId="7" fontId="32" numFmtId="0" xfId="0" applyAlignment="1" applyBorder="1" applyFont="1">
      <alignment horizontal="center" vertical="center"/>
    </xf>
    <xf borderId="0" fillId="0" fontId="26" numFmtId="0" xfId="0" applyAlignment="1" applyFont="1">
      <alignment horizontal="center"/>
    </xf>
    <xf borderId="0" fillId="16" fontId="33" numFmtId="0" xfId="0" applyAlignment="1" applyFont="1">
      <alignment horizontal="center"/>
    </xf>
    <xf borderId="1" fillId="4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vertical="center"/>
    </xf>
    <xf borderId="1" fillId="7" fontId="34" numFmtId="0" xfId="0" applyAlignment="1" applyBorder="1" applyFont="1">
      <alignment horizontal="center" vertical="center"/>
    </xf>
    <xf borderId="1" fillId="4" fontId="28" numFmtId="0" xfId="0" applyBorder="1" applyFont="1"/>
    <xf borderId="1" fillId="0" fontId="11" numFmtId="0" xfId="0" applyBorder="1" applyFont="1"/>
    <xf borderId="5" fillId="17" fontId="23" numFmtId="0" xfId="0" applyAlignment="1" applyBorder="1" applyFill="1" applyFont="1">
      <alignment horizontal="center"/>
    </xf>
    <xf borderId="8" fillId="18" fontId="35" numFmtId="0" xfId="0" applyAlignment="1" applyBorder="1" applyFill="1" applyFont="1">
      <alignment horizontal="center" vertical="center"/>
    </xf>
    <xf borderId="13" fillId="0" fontId="6" numFmtId="0" xfId="0" applyBorder="1" applyFont="1"/>
    <xf borderId="0" fillId="0" fontId="36" numFmtId="0" xfId="0" applyFont="1"/>
    <xf borderId="2" fillId="0" fontId="37" numFmtId="0" xfId="0" applyBorder="1" applyFont="1"/>
    <xf borderId="5" fillId="0" fontId="38" numFmtId="0" xfId="0" applyBorder="1" applyFont="1"/>
    <xf borderId="14" fillId="0" fontId="6" numFmtId="0" xfId="0" applyBorder="1" applyFont="1"/>
    <xf borderId="0" fillId="7" fontId="39" numFmtId="0" xfId="0" applyFont="1"/>
    <xf borderId="7" fillId="0" fontId="23" numFmtId="0" xfId="0" applyBorder="1" applyFont="1"/>
    <xf borderId="0" fillId="0" fontId="40" numFmtId="0" xfId="0" applyFont="1"/>
    <xf borderId="5" fillId="17" fontId="23" numFmtId="0" xfId="0" applyAlignment="1" applyBorder="1" applyFont="1">
      <alignment horizontal="center" vertical="bottom"/>
    </xf>
    <xf borderId="5" fillId="17" fontId="25" numFmtId="0" xfId="0" applyAlignment="1" applyBorder="1" applyFont="1">
      <alignment horizontal="center" vertical="bottom"/>
    </xf>
    <xf borderId="2" fillId="0" fontId="37" numFmtId="0" xfId="0" applyAlignment="1" applyBorder="1" applyFont="1">
      <alignment vertical="bottom"/>
    </xf>
    <xf borderId="5" fillId="0" fontId="37" numFmtId="0" xfId="0" applyAlignment="1" applyBorder="1" applyFont="1">
      <alignment vertical="bottom"/>
    </xf>
    <xf borderId="2" fillId="17" fontId="25" numFmtId="0" xfId="0" applyAlignment="1" applyBorder="1" applyFont="1">
      <alignment horizontal="center"/>
    </xf>
    <xf borderId="0" fillId="0" fontId="36" numFmtId="0" xfId="0" applyAlignment="1" applyFont="1">
      <alignment vertical="bottom"/>
    </xf>
    <xf borderId="1" fillId="0" fontId="41" numFmtId="0" xfId="0" applyAlignment="1" applyBorder="1" applyFont="1">
      <alignment horizontal="center" vertical="center"/>
    </xf>
    <xf borderId="5" fillId="0" fontId="37" numFmtId="0" xfId="0" applyBorder="1" applyFont="1"/>
    <xf borderId="0" fillId="17" fontId="25" numFmtId="0" xfId="0" applyAlignment="1" applyFont="1">
      <alignment horizontal="center"/>
    </xf>
    <xf borderId="2" fillId="12" fontId="25" numFmtId="0" xfId="0" applyAlignment="1" applyBorder="1" applyFont="1">
      <alignment horizontal="center"/>
    </xf>
    <xf borderId="5" fillId="17" fontId="25" numFmtId="49" xfId="0" applyAlignment="1" applyBorder="1" applyFont="1" applyNumberFormat="1">
      <alignment horizontal="center"/>
    </xf>
    <xf borderId="2" fillId="0" fontId="40" numFmtId="0" xfId="0" applyAlignment="1" applyBorder="1" applyFont="1">
      <alignment horizontal="center" vertical="bottom"/>
    </xf>
    <xf borderId="2" fillId="0" fontId="40" numFmtId="0" xfId="0" applyAlignment="1" applyBorder="1" applyFont="1">
      <alignment horizontal="center"/>
    </xf>
    <xf borderId="8" fillId="0" fontId="36" numFmtId="0" xfId="0" applyAlignment="1" applyBorder="1" applyFont="1">
      <alignment horizontal="center" vertical="center"/>
    </xf>
    <xf borderId="15" fillId="0" fontId="6" numFmtId="0" xfId="0" applyBorder="1" applyFont="1"/>
    <xf borderId="2" fillId="0" fontId="37" numFmtId="0" xfId="0" applyAlignment="1" applyBorder="1" applyFont="1">
      <alignment horizontal="left"/>
    </xf>
    <xf borderId="11" fillId="17" fontId="25" numFmtId="0" xfId="0" applyAlignment="1" applyBorder="1" applyFont="1">
      <alignment horizontal="center" vertical="bottom"/>
    </xf>
    <xf borderId="2" fillId="0" fontId="42" numFmtId="0" xfId="0" applyAlignment="1" applyBorder="1" applyFont="1">
      <alignment horizontal="left"/>
    </xf>
    <xf borderId="11" fillId="17" fontId="25" numFmtId="0" xfId="0" applyAlignment="1" applyBorder="1" applyFont="1">
      <alignment horizontal="center"/>
    </xf>
    <xf borderId="5" fillId="0" fontId="42" numFmtId="0" xfId="0" applyAlignment="1" applyBorder="1" applyFont="1">
      <alignment horizontal="left"/>
    </xf>
    <xf borderId="11" fillId="17" fontId="23" numFmtId="0" xfId="0" applyAlignment="1" applyBorder="1" applyFont="1">
      <alignment horizontal="center"/>
    </xf>
    <xf borderId="8" fillId="0" fontId="36" numFmtId="0" xfId="0" applyAlignment="1" applyBorder="1" applyFont="1">
      <alignment horizontal="center"/>
    </xf>
    <xf borderId="2" fillId="0" fontId="43" numFmtId="0" xfId="0" applyBorder="1" applyFont="1"/>
    <xf borderId="14" fillId="0" fontId="37" numFmtId="0" xfId="0" applyAlignment="1" applyBorder="1" applyFont="1">
      <alignment horizontal="left"/>
    </xf>
    <xf borderId="8" fillId="0" fontId="11" numFmtId="0" xfId="0" applyAlignment="1" applyBorder="1" applyFont="1">
      <alignment horizontal="center" vertical="bottom"/>
    </xf>
    <xf borderId="5" fillId="0" fontId="37" numFmtId="0" xfId="0" applyAlignment="1" applyBorder="1" applyFont="1">
      <alignment horizontal="left"/>
    </xf>
    <xf borderId="6" fillId="17" fontId="23" numFmtId="0" xfId="0" applyAlignment="1" applyBorder="1" applyFont="1">
      <alignment horizontal="center"/>
    </xf>
    <xf borderId="0" fillId="0" fontId="44" numFmtId="0" xfId="0" applyFont="1"/>
    <xf borderId="7" fillId="0" fontId="37" numFmtId="0" xfId="0" applyBorder="1" applyFont="1"/>
    <xf borderId="14" fillId="0" fontId="42" numFmtId="0" xfId="0" applyAlignment="1" applyBorder="1" applyFont="1">
      <alignment horizontal="left"/>
    </xf>
    <xf borderId="5" fillId="0" fontId="40" numFmtId="0" xfId="0" applyAlignment="1" applyBorder="1" applyFont="1">
      <alignment horizontal="center" vertical="bottom"/>
    </xf>
    <xf borderId="5" fillId="0" fontId="40" numFmtId="0" xfId="0" applyAlignment="1" applyBorder="1" applyFont="1">
      <alignment horizontal="center"/>
    </xf>
    <xf borderId="5" fillId="17" fontId="25" numFmtId="0" xfId="0" applyAlignment="1" applyBorder="1" applyFont="1">
      <alignment horizontal="center"/>
    </xf>
    <xf borderId="0" fillId="0" fontId="42" numFmtId="0" xfId="0" applyAlignment="1" applyFont="1">
      <alignment horizontal="left"/>
    </xf>
    <xf borderId="8" fillId="7" fontId="37" numFmtId="0" xfId="0" applyAlignment="1" applyBorder="1" applyFont="1">
      <alignment horizontal="center" vertical="center"/>
    </xf>
    <xf borderId="6" fillId="0" fontId="37" numFmtId="0" xfId="0" applyBorder="1" applyFont="1"/>
    <xf borderId="0" fillId="0" fontId="37" numFmtId="0" xfId="0" applyAlignment="1" applyFont="1">
      <alignment horizontal="left"/>
    </xf>
    <xf borderId="0" fillId="0" fontId="45" numFmtId="0" xfId="0" applyAlignment="1" applyFont="1">
      <alignment horizontal="left"/>
    </xf>
    <xf borderId="5" fillId="7" fontId="37" numFmtId="0" xfId="0" applyBorder="1" applyFont="1"/>
    <xf borderId="2" fillId="0" fontId="46" numFmtId="0" xfId="0" applyBorder="1" applyFont="1"/>
    <xf borderId="5" fillId="0" fontId="46" numFmtId="0" xfId="0" applyBorder="1" applyFont="1"/>
    <xf borderId="7" fillId="0" fontId="37" numFmtId="0" xfId="0" applyAlignment="1" applyBorder="1" applyFont="1">
      <alignment vertical="bottom"/>
    </xf>
    <xf borderId="5" fillId="17" fontId="47" numFmtId="0" xfId="0" applyAlignment="1" applyBorder="1" applyFont="1">
      <alignment horizontal="center"/>
    </xf>
    <xf borderId="2" fillId="0" fontId="48" numFmtId="0" xfId="0" applyBorder="1" applyFont="1"/>
    <xf borderId="0" fillId="0" fontId="49" numFmtId="0" xfId="0" applyFont="1"/>
    <xf borderId="7" fillId="0" fontId="48" numFmtId="0" xfId="0" applyBorder="1" applyFont="1"/>
    <xf borderId="14" fillId="0" fontId="50" numFmtId="0" xfId="0" applyAlignment="1" applyBorder="1" applyFont="1">
      <alignment horizontal="left"/>
    </xf>
    <xf borderId="5" fillId="17" fontId="47" numFmtId="0" xfId="0" applyAlignment="1" applyBorder="1" applyFont="1">
      <alignment horizontal="center" vertical="bottom"/>
    </xf>
    <xf borderId="2" fillId="0" fontId="48" numFmtId="0" xfId="0" applyAlignment="1" applyBorder="1" applyFont="1">
      <alignment vertical="bottom"/>
    </xf>
    <xf borderId="5" fillId="0" fontId="48" numFmtId="0" xfId="0" applyBorder="1" applyFont="1"/>
    <xf borderId="2" fillId="17" fontId="23" numFmtId="0" xfId="0" applyAlignment="1" applyBorder="1" applyFont="1">
      <alignment horizontal="center"/>
    </xf>
    <xf borderId="12" fillId="17" fontId="23" numFmtId="0" xfId="0" applyAlignment="1" applyBorder="1" applyFont="1">
      <alignment horizontal="center"/>
    </xf>
    <xf borderId="0" fillId="0" fontId="21" numFmtId="0" xfId="0" applyFont="1"/>
    <xf borderId="14" fillId="0" fontId="51" numFmtId="0" xfId="0" applyBorder="1" applyFont="1"/>
    <xf borderId="0" fillId="0" fontId="52" numFmtId="0" xfId="0" applyAlignment="1" applyFont="1">
      <alignment horizontal="left"/>
    </xf>
    <xf borderId="0" fillId="7" fontId="23" numFmtId="0" xfId="0" applyAlignment="1" applyFont="1">
      <alignment horizontal="center"/>
    </xf>
    <xf borderId="14" fillId="0" fontId="53" numFmtId="0" xfId="0" applyAlignment="1" applyBorder="1" applyFont="1">
      <alignment horizontal="left"/>
    </xf>
    <xf borderId="0" fillId="11" fontId="5" numFmtId="0" xfId="0" applyFont="1"/>
    <xf borderId="0" fillId="0" fontId="11" numFmtId="0" xfId="0" applyFont="1"/>
  </cellXfs>
  <cellStyles count="1">
    <cellStyle xfId="0" name="Normal" builtinId="0"/>
  </cellStyles>
  <dxfs count="7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Zdq6hnjVM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h42Mhmqtx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EPaapuEpEj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SMdG56SR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7vNjX3aUM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EFgYQ6jQGh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K53HhXuGMF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RWnDuxe7qw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GuUtGHANVq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cGX9udCxZY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y6paUQtZH6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fc2pSfUEfx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mgNknuSm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M3nxZPs7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eTyKYvaFxC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RSnJwqJHqV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J3XhVFM7ws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v7uCqtp7GQ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XjdkbMQM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fFBkfFuUWt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9dBRpWz67b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s2JBG9JBWg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2vGeh2Dbz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eUJCaDveEm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StmqPWcwYQ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8XyQJws4Ev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8MqfQuCqKa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rXTJNxfHeb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HcvqkCkHRJ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dHPH5HU5TK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sHCYTwV6UG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kTYarDQ7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wUSM4jKde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Y52cjMrmT9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ynDvDEdsnf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Vqrc8H687q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FnE3TREC3k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ZdJer34M7x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z9xwp8gYsu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Ch7RftJpQW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qwmr86w9Gm" TargetMode="Externa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N7u5Y84z" TargetMode="Externa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quW6DzKSf" TargetMode="External"/><Relationship Id="rId2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TvR6Abfz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21.0"/>
    <col customWidth="1" min="3" max="3" width="21.38"/>
    <col customWidth="1" min="4" max="4" width="27.0"/>
    <col customWidth="1" min="5" max="5" width="25.13"/>
    <col customWidth="1" min="6" max="6" width="14.0"/>
    <col customWidth="1" min="7" max="7" width="23.63"/>
    <col customWidth="1" min="8" max="8" width="17.88"/>
    <col customWidth="1" min="9" max="11" width="21.38"/>
  </cols>
  <sheetData>
    <row r="1" ht="30.0" customHeight="1">
      <c r="A1" s="1" t="s">
        <v>0</v>
      </c>
      <c r="B1" s="2" t="s">
        <v>1</v>
      </c>
      <c r="D1" s="3">
        <f>COUNTIFS(H:H,"ENTREGUE")</f>
        <v>56</v>
      </c>
      <c r="E1" s="4" t="s">
        <v>2</v>
      </c>
      <c r="G1" s="5">
        <f>COUNTIFS(H:H,"LIVRE")</f>
        <v>1</v>
      </c>
      <c r="H1" s="6"/>
      <c r="I1" s="6"/>
      <c r="J1" s="6"/>
      <c r="K1" s="6"/>
    </row>
    <row r="2" ht="15.75" customHeight="1">
      <c r="A2" s="7"/>
      <c r="B2" s="8" t="s">
        <v>3</v>
      </c>
      <c r="C2" s="9" t="s">
        <v>4</v>
      </c>
      <c r="D2" s="10" t="s">
        <v>5</v>
      </c>
      <c r="E2" s="10" t="s">
        <v>6</v>
      </c>
      <c r="F2" s="11" t="s">
        <v>1</v>
      </c>
      <c r="G2" s="11" t="s">
        <v>7</v>
      </c>
      <c r="H2" s="12" t="s">
        <v>8</v>
      </c>
      <c r="I2" s="12" t="s">
        <v>9</v>
      </c>
      <c r="J2" s="12" t="s">
        <v>10</v>
      </c>
      <c r="K2" s="12" t="s">
        <v>11</v>
      </c>
    </row>
    <row r="3" ht="15.75" customHeight="1">
      <c r="A3" s="13" t="s">
        <v>12</v>
      </c>
      <c r="B3" s="14" t="s">
        <v>13</v>
      </c>
      <c r="C3" s="15" t="s">
        <v>14</v>
      </c>
      <c r="D3" s="16"/>
      <c r="E3" s="17"/>
      <c r="F3" s="18"/>
      <c r="G3" s="19"/>
      <c r="H3" s="18" t="s">
        <v>15</v>
      </c>
      <c r="I3" s="18"/>
      <c r="J3" s="18"/>
      <c r="K3" s="18" t="b">
        <v>0</v>
      </c>
    </row>
    <row r="4" ht="15.75" customHeight="1">
      <c r="A4" s="20"/>
      <c r="B4" s="14" t="s">
        <v>16</v>
      </c>
      <c r="C4" s="15" t="s">
        <v>17</v>
      </c>
      <c r="D4" s="21" t="s">
        <v>18</v>
      </c>
      <c r="E4" s="17" t="s">
        <v>19</v>
      </c>
      <c r="F4" s="18" t="s">
        <v>20</v>
      </c>
      <c r="G4" s="19">
        <v>1139.0</v>
      </c>
      <c r="H4" s="18" t="s">
        <v>21</v>
      </c>
      <c r="I4" s="18" t="s">
        <v>22</v>
      </c>
      <c r="J4" s="18"/>
      <c r="K4" s="18" t="b">
        <v>1</v>
      </c>
    </row>
    <row r="5" ht="15.75" customHeight="1">
      <c r="A5" s="20"/>
      <c r="B5" s="14" t="s">
        <v>23</v>
      </c>
      <c r="C5" s="15" t="s">
        <v>24</v>
      </c>
      <c r="D5" s="16" t="s">
        <v>25</v>
      </c>
      <c r="E5" s="17" t="s">
        <v>26</v>
      </c>
      <c r="F5" s="18" t="s">
        <v>20</v>
      </c>
      <c r="G5" s="19">
        <v>2503.0</v>
      </c>
      <c r="H5" s="18" t="s">
        <v>21</v>
      </c>
      <c r="I5" s="18" t="s">
        <v>22</v>
      </c>
      <c r="J5" s="18"/>
      <c r="K5" s="18" t="b">
        <v>1</v>
      </c>
    </row>
    <row r="6" ht="15.75" customHeight="1">
      <c r="A6" s="20"/>
      <c r="B6" s="14" t="s">
        <v>27</v>
      </c>
      <c r="C6" s="15" t="s">
        <v>28</v>
      </c>
      <c r="D6" s="21" t="s">
        <v>29</v>
      </c>
      <c r="E6" s="17" t="s">
        <v>30</v>
      </c>
      <c r="F6" s="18" t="s">
        <v>20</v>
      </c>
      <c r="G6" s="19">
        <v>1363.0</v>
      </c>
      <c r="H6" s="18" t="s">
        <v>21</v>
      </c>
      <c r="I6" s="18" t="s">
        <v>31</v>
      </c>
      <c r="J6" s="18"/>
      <c r="K6" s="18" t="b">
        <v>1</v>
      </c>
    </row>
    <row r="7" ht="15.75" customHeight="1">
      <c r="A7" s="20"/>
      <c r="B7" s="14" t="s">
        <v>32</v>
      </c>
      <c r="C7" s="15" t="s">
        <v>33</v>
      </c>
      <c r="D7" s="16" t="s">
        <v>34</v>
      </c>
      <c r="E7" s="22" t="s">
        <v>35</v>
      </c>
      <c r="F7" s="18" t="s">
        <v>20</v>
      </c>
      <c r="G7" s="19" t="s">
        <v>36</v>
      </c>
      <c r="H7" s="18" t="s">
        <v>21</v>
      </c>
      <c r="I7" s="18" t="s">
        <v>37</v>
      </c>
      <c r="J7" s="18"/>
      <c r="K7" s="18" t="b">
        <v>0</v>
      </c>
    </row>
    <row r="8" ht="15.75" customHeight="1">
      <c r="A8" s="20"/>
      <c r="B8" s="14" t="s">
        <v>38</v>
      </c>
      <c r="C8" s="15" t="s">
        <v>39</v>
      </c>
      <c r="D8" s="21" t="s">
        <v>40</v>
      </c>
      <c r="E8" s="17" t="s">
        <v>41</v>
      </c>
      <c r="F8" s="18" t="s">
        <v>20</v>
      </c>
      <c r="G8" s="19">
        <v>1352.0</v>
      </c>
      <c r="H8" s="18" t="s">
        <v>21</v>
      </c>
      <c r="I8" s="18" t="s">
        <v>42</v>
      </c>
      <c r="J8" s="18"/>
      <c r="K8" s="18" t="b">
        <v>1</v>
      </c>
    </row>
    <row r="9" ht="15.75" customHeight="1">
      <c r="A9" s="20"/>
      <c r="B9" s="14" t="s">
        <v>43</v>
      </c>
      <c r="C9" s="15" t="s">
        <v>44</v>
      </c>
      <c r="D9" s="21" t="s">
        <v>45</v>
      </c>
      <c r="E9" s="17" t="s">
        <v>46</v>
      </c>
      <c r="F9" s="18"/>
      <c r="G9" s="19"/>
      <c r="H9" s="18" t="s">
        <v>47</v>
      </c>
      <c r="I9" s="18" t="s">
        <v>48</v>
      </c>
      <c r="J9" s="18"/>
      <c r="K9" s="18" t="b">
        <v>0</v>
      </c>
    </row>
    <row r="10" ht="15.75" customHeight="1">
      <c r="A10" s="20"/>
      <c r="B10" s="14" t="s">
        <v>49</v>
      </c>
      <c r="C10" s="15" t="s">
        <v>50</v>
      </c>
      <c r="D10" s="21" t="s">
        <v>51</v>
      </c>
      <c r="E10" s="17" t="s">
        <v>52</v>
      </c>
      <c r="F10" s="18"/>
      <c r="G10" s="19"/>
      <c r="H10" s="18" t="s">
        <v>21</v>
      </c>
      <c r="I10" s="18" t="s">
        <v>37</v>
      </c>
      <c r="J10" s="18"/>
      <c r="K10" s="18" t="b">
        <v>0</v>
      </c>
    </row>
    <row r="11" ht="15.75" customHeight="1">
      <c r="A11" s="20"/>
      <c r="B11" s="14" t="s">
        <v>53</v>
      </c>
      <c r="C11" s="15" t="s">
        <v>54</v>
      </c>
      <c r="D11" s="16" t="s">
        <v>55</v>
      </c>
      <c r="E11" s="22" t="s">
        <v>56</v>
      </c>
      <c r="F11" s="18" t="s">
        <v>20</v>
      </c>
      <c r="G11" s="19">
        <v>1368.0</v>
      </c>
      <c r="H11" s="18" t="s">
        <v>21</v>
      </c>
      <c r="I11" s="18" t="s">
        <v>42</v>
      </c>
      <c r="J11" s="18"/>
      <c r="K11" s="18" t="b">
        <v>1</v>
      </c>
    </row>
    <row r="12" ht="15.75" customHeight="1">
      <c r="A12" s="20"/>
      <c r="B12" s="14" t="s">
        <v>57</v>
      </c>
      <c r="C12" s="15" t="s">
        <v>58</v>
      </c>
      <c r="D12" s="16" t="s">
        <v>59</v>
      </c>
      <c r="E12" s="17" t="s">
        <v>60</v>
      </c>
      <c r="F12" s="18" t="s">
        <v>20</v>
      </c>
      <c r="G12" s="19">
        <v>1096.0</v>
      </c>
      <c r="H12" s="18" t="s">
        <v>21</v>
      </c>
      <c r="I12" s="18" t="s">
        <v>61</v>
      </c>
      <c r="J12" s="18"/>
      <c r="K12" s="18" t="b">
        <v>1</v>
      </c>
    </row>
    <row r="13" ht="15.75" customHeight="1">
      <c r="A13" s="7"/>
      <c r="B13" s="14" t="s">
        <v>62</v>
      </c>
      <c r="C13" s="15" t="s">
        <v>63</v>
      </c>
      <c r="D13" s="23" t="s">
        <v>64</v>
      </c>
      <c r="E13" s="22" t="s">
        <v>65</v>
      </c>
      <c r="F13" s="18" t="s">
        <v>20</v>
      </c>
      <c r="G13" s="19">
        <v>1135.0</v>
      </c>
      <c r="H13" s="18" t="s">
        <v>21</v>
      </c>
      <c r="I13" s="18" t="s">
        <v>48</v>
      </c>
      <c r="J13" s="18"/>
      <c r="K13" s="18" t="b">
        <v>1</v>
      </c>
    </row>
    <row r="14" ht="15.75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6"/>
    </row>
    <row r="15" ht="15.75" customHeight="1">
      <c r="A15" s="27" t="s">
        <v>66</v>
      </c>
      <c r="B15" s="14" t="s">
        <v>67</v>
      </c>
      <c r="C15" s="15" t="s">
        <v>68</v>
      </c>
      <c r="D15" s="21" t="s">
        <v>69</v>
      </c>
      <c r="E15" s="17" t="s">
        <v>70</v>
      </c>
      <c r="F15" s="18" t="s">
        <v>20</v>
      </c>
      <c r="G15" s="19">
        <v>1084.0</v>
      </c>
      <c r="H15" s="18" t="s">
        <v>21</v>
      </c>
      <c r="I15" s="18" t="s">
        <v>71</v>
      </c>
      <c r="J15" s="18"/>
      <c r="K15" s="18" t="b">
        <v>1</v>
      </c>
    </row>
    <row r="16" ht="15.75" customHeight="1">
      <c r="A16" s="20"/>
      <c r="B16" s="14" t="s">
        <v>72</v>
      </c>
      <c r="C16" s="15" t="s">
        <v>73</v>
      </c>
      <c r="D16" s="21" t="s">
        <v>74</v>
      </c>
      <c r="E16" s="17" t="s">
        <v>75</v>
      </c>
      <c r="F16" s="18" t="s">
        <v>20</v>
      </c>
      <c r="G16" s="19">
        <v>1102.0</v>
      </c>
      <c r="H16" s="18" t="s">
        <v>21</v>
      </c>
      <c r="I16" s="18" t="s">
        <v>42</v>
      </c>
      <c r="J16" s="18"/>
      <c r="K16" s="18" t="b">
        <v>1</v>
      </c>
    </row>
    <row r="17" ht="15.75" customHeight="1">
      <c r="A17" s="20"/>
      <c r="B17" s="14" t="s">
        <v>76</v>
      </c>
      <c r="C17" s="15" t="s">
        <v>77</v>
      </c>
      <c r="D17" s="16" t="s">
        <v>78</v>
      </c>
      <c r="E17" s="22" t="s">
        <v>79</v>
      </c>
      <c r="F17" s="18" t="s">
        <v>20</v>
      </c>
      <c r="G17" s="19">
        <v>1110.0</v>
      </c>
      <c r="H17" s="18" t="s">
        <v>21</v>
      </c>
      <c r="I17" s="18" t="s">
        <v>80</v>
      </c>
      <c r="J17" s="18"/>
      <c r="K17" s="18" t="b">
        <v>1</v>
      </c>
    </row>
    <row r="18" ht="15.75" customHeight="1">
      <c r="A18" s="20"/>
      <c r="B18" s="14"/>
      <c r="C18" s="15"/>
      <c r="D18" s="21"/>
      <c r="E18" s="17"/>
      <c r="F18" s="18"/>
      <c r="G18" s="19"/>
      <c r="H18" s="18"/>
      <c r="I18" s="18"/>
      <c r="J18" s="18"/>
      <c r="K18" s="18" t="b">
        <v>0</v>
      </c>
    </row>
    <row r="19" ht="15.75" customHeight="1">
      <c r="A19" s="20"/>
      <c r="B19" s="14"/>
      <c r="C19" s="15"/>
      <c r="D19" s="21"/>
      <c r="E19" s="17"/>
      <c r="F19" s="18"/>
      <c r="G19" s="19"/>
      <c r="H19" s="18"/>
      <c r="I19" s="18"/>
      <c r="J19" s="18"/>
      <c r="K19" s="18" t="b">
        <v>0</v>
      </c>
    </row>
    <row r="20" ht="15.75" customHeight="1">
      <c r="A20" s="20"/>
      <c r="B20" s="14" t="s">
        <v>81</v>
      </c>
      <c r="C20" s="15" t="s">
        <v>82</v>
      </c>
      <c r="D20" s="21" t="s">
        <v>83</v>
      </c>
      <c r="E20" s="17" t="s">
        <v>84</v>
      </c>
      <c r="F20" s="18"/>
      <c r="G20" s="19"/>
      <c r="H20" s="18" t="s">
        <v>47</v>
      </c>
      <c r="I20" s="18" t="s">
        <v>80</v>
      </c>
      <c r="J20" s="18"/>
      <c r="K20" s="18" t="b">
        <v>0</v>
      </c>
    </row>
    <row r="21" ht="15.75" customHeight="1">
      <c r="A21" s="20"/>
      <c r="B21" s="14" t="s">
        <v>85</v>
      </c>
      <c r="C21" s="15" t="s">
        <v>86</v>
      </c>
      <c r="D21" s="21" t="s">
        <v>87</v>
      </c>
      <c r="E21" s="17" t="s">
        <v>88</v>
      </c>
      <c r="F21" s="18" t="s">
        <v>20</v>
      </c>
      <c r="G21" s="28">
        <v>1353.0</v>
      </c>
      <c r="H21" s="18" t="s">
        <v>21</v>
      </c>
      <c r="I21" s="18" t="s">
        <v>80</v>
      </c>
      <c r="J21" s="18"/>
      <c r="K21" s="18" t="b">
        <v>1</v>
      </c>
    </row>
    <row r="22" ht="15.75" customHeight="1">
      <c r="A22" s="20"/>
      <c r="B22" s="14" t="s">
        <v>89</v>
      </c>
      <c r="C22" s="15" t="s">
        <v>90</v>
      </c>
      <c r="D22" s="21" t="s">
        <v>91</v>
      </c>
      <c r="E22" s="17" t="s">
        <v>92</v>
      </c>
      <c r="F22" s="18" t="s">
        <v>20</v>
      </c>
      <c r="G22" s="28">
        <v>1323.0</v>
      </c>
      <c r="H22" s="18" t="s">
        <v>21</v>
      </c>
      <c r="I22" s="18" t="s">
        <v>61</v>
      </c>
      <c r="J22" s="18"/>
      <c r="K22" s="18" t="b">
        <v>1</v>
      </c>
    </row>
    <row r="23" ht="15.75" customHeight="1">
      <c r="A23" s="20"/>
      <c r="B23" s="14" t="s">
        <v>93</v>
      </c>
      <c r="C23" s="15" t="s">
        <v>94</v>
      </c>
      <c r="D23" s="21" t="s">
        <v>95</v>
      </c>
      <c r="E23" s="17" t="s">
        <v>96</v>
      </c>
      <c r="F23" s="18" t="s">
        <v>20</v>
      </c>
      <c r="G23" s="28">
        <v>1082.0</v>
      </c>
      <c r="H23" s="18" t="s">
        <v>21</v>
      </c>
      <c r="I23" s="18" t="s">
        <v>97</v>
      </c>
      <c r="J23" s="18"/>
      <c r="K23" s="18" t="b">
        <v>1</v>
      </c>
    </row>
    <row r="24" ht="15.75" customHeight="1">
      <c r="A24" s="20"/>
      <c r="B24" s="14" t="s">
        <v>98</v>
      </c>
      <c r="C24" s="15" t="s">
        <v>99</v>
      </c>
      <c r="D24" s="21" t="s">
        <v>100</v>
      </c>
      <c r="E24" s="17" t="s">
        <v>101</v>
      </c>
      <c r="F24" s="18" t="s">
        <v>20</v>
      </c>
      <c r="G24" s="19">
        <v>1316.0</v>
      </c>
      <c r="H24" s="18" t="s">
        <v>21</v>
      </c>
      <c r="I24" s="18" t="s">
        <v>42</v>
      </c>
      <c r="J24" s="18"/>
      <c r="K24" s="18" t="b">
        <v>1</v>
      </c>
    </row>
    <row r="25" ht="15.75" customHeight="1">
      <c r="A25" s="20"/>
      <c r="B25" s="14" t="s">
        <v>102</v>
      </c>
      <c r="C25" s="15" t="s">
        <v>103</v>
      </c>
      <c r="D25" s="21" t="s">
        <v>104</v>
      </c>
      <c r="E25" s="17" t="s">
        <v>105</v>
      </c>
      <c r="F25" s="18" t="s">
        <v>20</v>
      </c>
      <c r="G25" s="19">
        <v>1091.0</v>
      </c>
      <c r="H25" s="18" t="s">
        <v>21</v>
      </c>
      <c r="I25" s="18" t="s">
        <v>80</v>
      </c>
      <c r="J25" s="18"/>
      <c r="K25" s="18" t="b">
        <v>1</v>
      </c>
    </row>
    <row r="26" ht="15.75" customHeight="1">
      <c r="A26" s="20"/>
      <c r="B26" s="29" t="s">
        <v>106</v>
      </c>
      <c r="C26" s="30" t="s">
        <v>107</v>
      </c>
      <c r="D26" s="21" t="s">
        <v>108</v>
      </c>
      <c r="E26" s="17" t="s">
        <v>109</v>
      </c>
      <c r="F26" s="18" t="s">
        <v>20</v>
      </c>
      <c r="G26" s="19">
        <v>1271.0</v>
      </c>
      <c r="H26" s="18" t="s">
        <v>21</v>
      </c>
      <c r="I26" s="18" t="s">
        <v>110</v>
      </c>
      <c r="J26" s="18"/>
      <c r="K26" s="18" t="b">
        <v>1</v>
      </c>
    </row>
    <row r="27" ht="15.75" customHeight="1">
      <c r="A27" s="7"/>
      <c r="B27" s="29" t="s">
        <v>111</v>
      </c>
      <c r="C27" s="30" t="s">
        <v>112</v>
      </c>
      <c r="D27" s="21" t="s">
        <v>113</v>
      </c>
      <c r="E27" s="17" t="s">
        <v>114</v>
      </c>
      <c r="F27" s="18" t="s">
        <v>20</v>
      </c>
      <c r="G27" s="19" t="s">
        <v>115</v>
      </c>
      <c r="H27" s="18" t="s">
        <v>21</v>
      </c>
      <c r="I27" s="18" t="s">
        <v>80</v>
      </c>
      <c r="J27" s="18"/>
      <c r="K27" s="18" t="b">
        <v>1</v>
      </c>
    </row>
    <row r="28" ht="15.75" customHeight="1">
      <c r="A28" s="31"/>
      <c r="B28" s="25"/>
      <c r="C28" s="25"/>
      <c r="D28" s="25"/>
      <c r="E28" s="25"/>
      <c r="F28" s="25"/>
      <c r="G28" s="25"/>
      <c r="H28" s="25"/>
      <c r="I28" s="25"/>
      <c r="J28" s="25"/>
      <c r="K28" s="26"/>
    </row>
    <row r="29" ht="15.75" customHeight="1">
      <c r="A29" s="32" t="s">
        <v>116</v>
      </c>
      <c r="B29" s="14" t="s">
        <v>117</v>
      </c>
      <c r="C29" s="15" t="s">
        <v>118</v>
      </c>
      <c r="D29" s="21" t="s">
        <v>119</v>
      </c>
      <c r="E29" s="22" t="s">
        <v>120</v>
      </c>
      <c r="F29" s="18" t="s">
        <v>20</v>
      </c>
      <c r="G29" s="19">
        <v>1143.0</v>
      </c>
      <c r="H29" s="18" t="s">
        <v>21</v>
      </c>
      <c r="I29" s="18" t="s">
        <v>97</v>
      </c>
      <c r="J29" s="18"/>
      <c r="K29" s="18" t="b">
        <v>1</v>
      </c>
    </row>
    <row r="30" ht="15.75" customHeight="1">
      <c r="A30" s="20"/>
      <c r="B30" s="14" t="s">
        <v>121</v>
      </c>
      <c r="C30" s="15" t="s">
        <v>122</v>
      </c>
      <c r="D30" s="21" t="s">
        <v>123</v>
      </c>
      <c r="E30" s="17" t="s">
        <v>124</v>
      </c>
      <c r="F30" s="18" t="s">
        <v>20</v>
      </c>
      <c r="G30" s="19">
        <v>1157.0</v>
      </c>
      <c r="H30" s="18" t="s">
        <v>21</v>
      </c>
      <c r="I30" s="18" t="s">
        <v>71</v>
      </c>
      <c r="J30" s="18"/>
      <c r="K30" s="18" t="b">
        <v>1</v>
      </c>
    </row>
    <row r="31" ht="15.75" customHeight="1">
      <c r="A31" s="20"/>
      <c r="B31" s="14" t="s">
        <v>125</v>
      </c>
      <c r="C31" s="15" t="s">
        <v>126</v>
      </c>
      <c r="D31" s="21" t="s">
        <v>127</v>
      </c>
      <c r="E31" s="17" t="s">
        <v>128</v>
      </c>
      <c r="F31" s="18" t="s">
        <v>20</v>
      </c>
      <c r="G31" s="19">
        <v>1097.0</v>
      </c>
      <c r="H31" s="18" t="s">
        <v>21</v>
      </c>
      <c r="I31" s="18" t="s">
        <v>42</v>
      </c>
      <c r="J31" s="18"/>
      <c r="K31" s="18" t="b">
        <v>1</v>
      </c>
    </row>
    <row r="32" ht="15.75" customHeight="1">
      <c r="A32" s="20"/>
      <c r="B32" s="14" t="s">
        <v>129</v>
      </c>
      <c r="C32" s="15" t="s">
        <v>130</v>
      </c>
      <c r="D32" s="21" t="s">
        <v>131</v>
      </c>
      <c r="E32" s="17" t="s">
        <v>132</v>
      </c>
      <c r="F32" s="18"/>
      <c r="G32" s="19"/>
      <c r="H32" s="18" t="s">
        <v>47</v>
      </c>
      <c r="I32" s="18" t="s">
        <v>42</v>
      </c>
      <c r="J32" s="18"/>
      <c r="K32" s="18" t="b">
        <v>0</v>
      </c>
    </row>
    <row r="33" ht="15.75" customHeight="1">
      <c r="A33" s="20"/>
      <c r="B33" s="33" t="s">
        <v>133</v>
      </c>
      <c r="C33" s="15" t="s">
        <v>134</v>
      </c>
      <c r="D33" s="34" t="s">
        <v>135</v>
      </c>
      <c r="E33" s="22" t="s">
        <v>136</v>
      </c>
      <c r="F33" s="18" t="s">
        <v>20</v>
      </c>
      <c r="G33" s="19">
        <v>1366.0</v>
      </c>
      <c r="H33" s="18" t="s">
        <v>21</v>
      </c>
      <c r="I33" s="18" t="s">
        <v>80</v>
      </c>
      <c r="J33" s="18"/>
      <c r="K33" s="18" t="b">
        <v>1</v>
      </c>
    </row>
    <row r="34" ht="15.75" customHeight="1">
      <c r="A34" s="7"/>
      <c r="B34" s="14" t="s">
        <v>137</v>
      </c>
      <c r="C34" s="15" t="s">
        <v>138</v>
      </c>
      <c r="D34" s="16" t="s">
        <v>139</v>
      </c>
      <c r="E34" s="22" t="s">
        <v>140</v>
      </c>
      <c r="F34" s="18"/>
      <c r="G34" s="19"/>
      <c r="H34" s="18" t="s">
        <v>47</v>
      </c>
      <c r="I34" s="18" t="s">
        <v>141</v>
      </c>
      <c r="J34" s="18"/>
      <c r="K34" s="18" t="b">
        <v>0</v>
      </c>
    </row>
    <row r="35" ht="15.75" customHeight="1">
      <c r="A35" s="35"/>
      <c r="B35" s="25"/>
      <c r="C35" s="25"/>
      <c r="D35" s="25"/>
      <c r="E35" s="25"/>
      <c r="F35" s="25"/>
      <c r="G35" s="25"/>
      <c r="H35" s="25"/>
      <c r="I35" s="25"/>
      <c r="J35" s="25"/>
      <c r="K35" s="26"/>
    </row>
    <row r="36" ht="15.75" customHeight="1">
      <c r="A36" s="36" t="s">
        <v>142</v>
      </c>
      <c r="B36" s="14" t="s">
        <v>143</v>
      </c>
      <c r="C36" s="15" t="s">
        <v>144</v>
      </c>
      <c r="D36" s="16" t="s">
        <v>145</v>
      </c>
      <c r="E36" s="22" t="s">
        <v>146</v>
      </c>
      <c r="F36" s="18" t="s">
        <v>20</v>
      </c>
      <c r="G36" s="19">
        <v>3964.0</v>
      </c>
      <c r="H36" s="18" t="s">
        <v>21</v>
      </c>
      <c r="I36" s="18" t="s">
        <v>110</v>
      </c>
      <c r="J36" s="18"/>
      <c r="K36" s="18" t="b">
        <v>1</v>
      </c>
    </row>
    <row r="37" ht="15.75" customHeight="1">
      <c r="A37" s="20"/>
      <c r="B37" s="14" t="s">
        <v>147</v>
      </c>
      <c r="C37" s="15" t="s">
        <v>148</v>
      </c>
      <c r="D37" s="16" t="s">
        <v>149</v>
      </c>
      <c r="E37" s="22" t="s">
        <v>150</v>
      </c>
      <c r="F37" s="18" t="s">
        <v>20</v>
      </c>
      <c r="G37" s="19">
        <v>1092.0</v>
      </c>
      <c r="H37" s="18" t="s">
        <v>21</v>
      </c>
      <c r="I37" s="18" t="s">
        <v>110</v>
      </c>
      <c r="J37" s="18"/>
      <c r="K37" s="18" t="b">
        <v>1</v>
      </c>
    </row>
    <row r="38" ht="15.75" customHeight="1">
      <c r="A38" s="20"/>
      <c r="B38" s="14" t="s">
        <v>151</v>
      </c>
      <c r="C38" s="15" t="s">
        <v>152</v>
      </c>
      <c r="D38" s="16" t="s">
        <v>153</v>
      </c>
      <c r="E38" s="22" t="s">
        <v>154</v>
      </c>
      <c r="F38" s="18" t="s">
        <v>20</v>
      </c>
      <c r="G38" s="19">
        <v>1252.0</v>
      </c>
      <c r="H38" s="18" t="s">
        <v>21</v>
      </c>
      <c r="I38" s="18" t="s">
        <v>110</v>
      </c>
      <c r="J38" s="18"/>
      <c r="K38" s="18" t="b">
        <v>1</v>
      </c>
    </row>
    <row r="39" ht="15.75" customHeight="1">
      <c r="A39" s="20"/>
      <c r="B39" s="14" t="s">
        <v>155</v>
      </c>
      <c r="C39" s="15" t="s">
        <v>156</v>
      </c>
      <c r="D39" s="16" t="s">
        <v>157</v>
      </c>
      <c r="E39" s="22" t="s">
        <v>158</v>
      </c>
      <c r="F39" s="18" t="s">
        <v>20</v>
      </c>
      <c r="G39" s="19">
        <v>1072.0</v>
      </c>
      <c r="H39" s="18" t="s">
        <v>21</v>
      </c>
      <c r="I39" s="18" t="s">
        <v>110</v>
      </c>
      <c r="J39" s="18"/>
      <c r="K39" s="18" t="b">
        <v>1</v>
      </c>
    </row>
    <row r="40" ht="15.75" customHeight="1">
      <c r="A40" s="20"/>
      <c r="B40" s="14" t="s">
        <v>159</v>
      </c>
      <c r="C40" s="15" t="s">
        <v>160</v>
      </c>
      <c r="D40" s="16" t="s">
        <v>161</v>
      </c>
      <c r="E40" s="22" t="s">
        <v>162</v>
      </c>
      <c r="F40" s="18"/>
      <c r="G40" s="19"/>
      <c r="H40" s="18" t="s">
        <v>47</v>
      </c>
      <c r="I40" s="18" t="s">
        <v>141</v>
      </c>
      <c r="J40" s="18"/>
      <c r="K40" s="18" t="b">
        <v>0</v>
      </c>
    </row>
    <row r="41" ht="15.75" customHeight="1">
      <c r="A41" s="20"/>
      <c r="B41" s="14" t="s">
        <v>163</v>
      </c>
      <c r="C41" s="15" t="s">
        <v>164</v>
      </c>
      <c r="D41" s="16" t="s">
        <v>165</v>
      </c>
      <c r="E41" s="22" t="s">
        <v>166</v>
      </c>
      <c r="F41" s="18" t="s">
        <v>20</v>
      </c>
      <c r="G41" s="19">
        <v>55.0</v>
      </c>
      <c r="H41" s="18" t="s">
        <v>21</v>
      </c>
      <c r="I41" s="18" t="s">
        <v>97</v>
      </c>
      <c r="J41" s="18"/>
      <c r="K41" s="18" t="b">
        <v>1</v>
      </c>
    </row>
    <row r="42" ht="15.75" customHeight="1">
      <c r="A42" s="7"/>
      <c r="B42" s="14" t="s">
        <v>167</v>
      </c>
      <c r="C42" s="15" t="s">
        <v>168</v>
      </c>
      <c r="D42" s="16" t="s">
        <v>169</v>
      </c>
      <c r="E42" s="22" t="s">
        <v>170</v>
      </c>
      <c r="F42" s="18" t="s">
        <v>20</v>
      </c>
      <c r="G42" s="19">
        <v>1073.0</v>
      </c>
      <c r="H42" s="18" t="s">
        <v>21</v>
      </c>
      <c r="I42" s="18" t="s">
        <v>97</v>
      </c>
      <c r="J42" s="18"/>
      <c r="K42" s="18" t="b">
        <v>0</v>
      </c>
    </row>
    <row r="43" ht="15.75" customHeight="1">
      <c r="A43" s="37"/>
      <c r="B43" s="25"/>
      <c r="C43" s="25"/>
      <c r="D43" s="25"/>
      <c r="E43" s="25"/>
      <c r="F43" s="25"/>
      <c r="G43" s="25"/>
      <c r="H43" s="25"/>
      <c r="I43" s="25"/>
      <c r="J43" s="25"/>
      <c r="K43" s="26"/>
    </row>
    <row r="44" ht="15.75" customHeight="1">
      <c r="A44" s="38" t="s">
        <v>171</v>
      </c>
      <c r="B44" s="14" t="s">
        <v>172</v>
      </c>
      <c r="C44" s="15" t="s">
        <v>173</v>
      </c>
      <c r="D44" s="16"/>
      <c r="E44" s="22"/>
      <c r="F44" s="18"/>
      <c r="G44" s="19"/>
      <c r="H44" s="18" t="s">
        <v>47</v>
      </c>
      <c r="I44" s="18" t="s">
        <v>174</v>
      </c>
      <c r="J44" s="18"/>
      <c r="K44" s="18" t="b">
        <v>0</v>
      </c>
    </row>
    <row r="45" ht="15.75" customHeight="1">
      <c r="A45" s="20"/>
      <c r="B45" s="14" t="s">
        <v>175</v>
      </c>
      <c r="C45" s="15" t="s">
        <v>176</v>
      </c>
      <c r="D45" s="16" t="s">
        <v>177</v>
      </c>
      <c r="E45" s="22" t="s">
        <v>178</v>
      </c>
      <c r="F45" s="18" t="s">
        <v>20</v>
      </c>
      <c r="G45" s="19">
        <v>1076.0</v>
      </c>
      <c r="H45" s="18" t="s">
        <v>21</v>
      </c>
      <c r="I45" s="18" t="s">
        <v>174</v>
      </c>
      <c r="J45" s="18"/>
      <c r="K45" s="18" t="b">
        <v>1</v>
      </c>
    </row>
    <row r="46" ht="15.75" customHeight="1">
      <c r="A46" s="20"/>
      <c r="B46" s="14" t="s">
        <v>179</v>
      </c>
      <c r="C46" s="15" t="s">
        <v>180</v>
      </c>
      <c r="D46" s="16" t="s">
        <v>181</v>
      </c>
      <c r="E46" s="22" t="s">
        <v>182</v>
      </c>
      <c r="F46" s="18" t="s">
        <v>20</v>
      </c>
      <c r="G46" s="19">
        <v>1085.0</v>
      </c>
      <c r="H46" s="18" t="s">
        <v>21</v>
      </c>
      <c r="I46" s="18" t="s">
        <v>42</v>
      </c>
      <c r="J46" s="18"/>
      <c r="K46" s="18" t="b">
        <v>1</v>
      </c>
    </row>
    <row r="47" ht="15.75" customHeight="1">
      <c r="A47" s="20"/>
      <c r="B47" s="14" t="s">
        <v>183</v>
      </c>
      <c r="C47" s="15" t="s">
        <v>184</v>
      </c>
      <c r="D47" s="16" t="s">
        <v>185</v>
      </c>
      <c r="E47" s="22"/>
      <c r="F47" s="18" t="s">
        <v>20</v>
      </c>
      <c r="G47" s="19">
        <v>4028.0</v>
      </c>
      <c r="H47" s="18" t="s">
        <v>21</v>
      </c>
      <c r="I47" s="18" t="s">
        <v>97</v>
      </c>
      <c r="J47" s="18"/>
      <c r="K47" s="18" t="b">
        <v>1</v>
      </c>
    </row>
    <row r="48" ht="15.75" customHeight="1">
      <c r="A48" s="7"/>
      <c r="B48" s="14" t="s">
        <v>186</v>
      </c>
      <c r="C48" s="15" t="s">
        <v>187</v>
      </c>
      <c r="D48" s="16" t="s">
        <v>188</v>
      </c>
      <c r="E48" s="22" t="s">
        <v>189</v>
      </c>
      <c r="F48" s="18" t="s">
        <v>20</v>
      </c>
      <c r="G48" s="19">
        <v>1735.0</v>
      </c>
      <c r="H48" s="18" t="s">
        <v>21</v>
      </c>
      <c r="I48" s="18" t="s">
        <v>174</v>
      </c>
      <c r="J48" s="18"/>
      <c r="K48" s="18" t="b">
        <v>1</v>
      </c>
    </row>
    <row r="49" ht="15.75" customHeight="1">
      <c r="A49" s="39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ht="15.75" customHeight="1">
      <c r="A50" s="40" t="s">
        <v>190</v>
      </c>
      <c r="B50" s="14" t="s">
        <v>191</v>
      </c>
      <c r="C50" s="15" t="s">
        <v>192</v>
      </c>
      <c r="D50" s="16" t="s">
        <v>193</v>
      </c>
      <c r="E50" s="22" t="s">
        <v>194</v>
      </c>
      <c r="F50" s="18" t="s">
        <v>20</v>
      </c>
      <c r="G50" s="19">
        <v>6542.0</v>
      </c>
      <c r="H50" s="18" t="s">
        <v>21</v>
      </c>
      <c r="I50" s="18" t="s">
        <v>97</v>
      </c>
      <c r="J50" s="18"/>
      <c r="K50" s="18" t="b">
        <v>1</v>
      </c>
    </row>
    <row r="51" ht="15.75" customHeight="1">
      <c r="A51" s="20"/>
      <c r="B51" s="14" t="s">
        <v>195</v>
      </c>
      <c r="C51" s="15" t="s">
        <v>196</v>
      </c>
      <c r="D51" s="16" t="s">
        <v>197</v>
      </c>
      <c r="E51" s="22" t="s">
        <v>198</v>
      </c>
      <c r="F51" s="18"/>
      <c r="G51" s="19"/>
      <c r="H51" s="18" t="s">
        <v>47</v>
      </c>
      <c r="I51" s="18" t="s">
        <v>97</v>
      </c>
      <c r="J51" s="18"/>
      <c r="K51" s="18" t="b">
        <v>0</v>
      </c>
    </row>
    <row r="52" ht="15.75" customHeight="1">
      <c r="A52" s="20"/>
      <c r="B52" s="14" t="s">
        <v>199</v>
      </c>
      <c r="C52" s="15" t="s">
        <v>200</v>
      </c>
      <c r="D52" s="23" t="s">
        <v>201</v>
      </c>
      <c r="E52" s="22" t="s">
        <v>19</v>
      </c>
      <c r="F52" s="18"/>
      <c r="G52" s="19"/>
      <c r="H52" s="18" t="s">
        <v>47</v>
      </c>
      <c r="I52" s="18" t="s">
        <v>97</v>
      </c>
      <c r="J52" s="18"/>
      <c r="K52" s="18"/>
    </row>
    <row r="53" ht="15.75" customHeight="1">
      <c r="A53" s="20"/>
      <c r="B53" s="14" t="s">
        <v>202</v>
      </c>
      <c r="C53" s="15" t="s">
        <v>203</v>
      </c>
      <c r="D53" s="16" t="s">
        <v>204</v>
      </c>
      <c r="E53" s="22"/>
      <c r="F53" s="18" t="s">
        <v>20</v>
      </c>
      <c r="G53" s="19">
        <v>1283.0</v>
      </c>
      <c r="H53" s="18" t="s">
        <v>21</v>
      </c>
      <c r="I53" s="18" t="s">
        <v>174</v>
      </c>
      <c r="J53" s="18"/>
      <c r="K53" s="18" t="b">
        <v>1</v>
      </c>
    </row>
    <row r="54" ht="15.75" customHeight="1">
      <c r="A54" s="20"/>
      <c r="B54" s="14" t="s">
        <v>205</v>
      </c>
      <c r="C54" s="15" t="s">
        <v>206</v>
      </c>
      <c r="D54" s="16" t="s">
        <v>207</v>
      </c>
      <c r="E54" s="22" t="s">
        <v>208</v>
      </c>
      <c r="F54" s="18" t="s">
        <v>20</v>
      </c>
      <c r="G54" s="19">
        <v>1231.0</v>
      </c>
      <c r="H54" s="18" t="s">
        <v>21</v>
      </c>
      <c r="I54" s="18" t="s">
        <v>141</v>
      </c>
      <c r="J54" s="18"/>
      <c r="K54" s="18" t="b">
        <v>1</v>
      </c>
    </row>
    <row r="55" ht="15.75" customHeight="1">
      <c r="A55" s="20"/>
      <c r="B55" s="14" t="s">
        <v>209</v>
      </c>
      <c r="C55" s="15" t="s">
        <v>210</v>
      </c>
      <c r="D55" s="16" t="s">
        <v>211</v>
      </c>
      <c r="E55" s="22" t="s">
        <v>212</v>
      </c>
      <c r="F55" s="18"/>
      <c r="G55" s="19"/>
      <c r="H55" s="18" t="s">
        <v>47</v>
      </c>
      <c r="I55" s="18" t="s">
        <v>141</v>
      </c>
      <c r="J55" s="18"/>
      <c r="K55" s="18" t="b">
        <v>0</v>
      </c>
    </row>
    <row r="56" ht="15.75" customHeight="1">
      <c r="A56" s="20"/>
      <c r="B56" s="14" t="s">
        <v>213</v>
      </c>
      <c r="C56" s="15" t="s">
        <v>214</v>
      </c>
      <c r="D56" s="16" t="s">
        <v>215</v>
      </c>
      <c r="E56" s="22" t="s">
        <v>216</v>
      </c>
      <c r="F56" s="18" t="s">
        <v>20</v>
      </c>
      <c r="G56" s="19">
        <v>1100.0</v>
      </c>
      <c r="H56" s="18" t="s">
        <v>21</v>
      </c>
      <c r="I56" s="18" t="s">
        <v>97</v>
      </c>
      <c r="J56" s="18"/>
      <c r="K56" s="18" t="b">
        <v>1</v>
      </c>
    </row>
    <row r="57" ht="15.75" customHeight="1">
      <c r="A57" s="20"/>
      <c r="B57" s="14" t="s">
        <v>217</v>
      </c>
      <c r="C57" s="15" t="s">
        <v>218</v>
      </c>
      <c r="D57" s="16" t="s">
        <v>219</v>
      </c>
      <c r="E57" s="22" t="s">
        <v>220</v>
      </c>
      <c r="F57" s="18" t="s">
        <v>20</v>
      </c>
      <c r="G57" s="19">
        <v>1113.0</v>
      </c>
      <c r="H57" s="18" t="s">
        <v>21</v>
      </c>
      <c r="I57" s="18" t="s">
        <v>97</v>
      </c>
      <c r="J57" s="18"/>
      <c r="K57" s="18" t="b">
        <v>1</v>
      </c>
    </row>
    <row r="58" ht="15.75" customHeight="1">
      <c r="A58" s="20"/>
      <c r="B58" s="14" t="s">
        <v>221</v>
      </c>
      <c r="C58" s="15" t="s">
        <v>222</v>
      </c>
      <c r="D58" s="16" t="s">
        <v>223</v>
      </c>
      <c r="E58" s="22" t="s">
        <v>224</v>
      </c>
      <c r="F58" s="18" t="s">
        <v>20</v>
      </c>
      <c r="G58" s="19">
        <v>1104.0</v>
      </c>
      <c r="H58" s="18" t="s">
        <v>21</v>
      </c>
      <c r="I58" s="18" t="s">
        <v>97</v>
      </c>
      <c r="J58" s="18"/>
      <c r="K58" s="18" t="b">
        <v>1</v>
      </c>
    </row>
    <row r="59" ht="15.75" customHeight="1">
      <c r="A59" s="20"/>
      <c r="B59" s="14" t="s">
        <v>225</v>
      </c>
      <c r="C59" s="15" t="s">
        <v>226</v>
      </c>
      <c r="D59" s="16" t="s">
        <v>227</v>
      </c>
      <c r="E59" s="22" t="s">
        <v>228</v>
      </c>
      <c r="F59" s="18" t="s">
        <v>20</v>
      </c>
      <c r="G59" s="19">
        <v>1193.0</v>
      </c>
      <c r="H59" s="18" t="s">
        <v>21</v>
      </c>
      <c r="I59" s="18" t="s">
        <v>42</v>
      </c>
      <c r="J59" s="18"/>
      <c r="K59" s="18" t="b">
        <v>1</v>
      </c>
    </row>
    <row r="60" ht="15.75" customHeight="1">
      <c r="A60" s="20"/>
      <c r="B60" s="14" t="s">
        <v>229</v>
      </c>
      <c r="C60" s="15" t="s">
        <v>230</v>
      </c>
      <c r="D60" s="16" t="s">
        <v>231</v>
      </c>
      <c r="E60" s="22" t="s">
        <v>232</v>
      </c>
      <c r="F60" s="18"/>
      <c r="G60" s="19"/>
      <c r="H60" s="18" t="s">
        <v>47</v>
      </c>
      <c r="I60" s="18" t="s">
        <v>97</v>
      </c>
      <c r="J60" s="18"/>
      <c r="K60" s="18" t="b">
        <v>0</v>
      </c>
    </row>
    <row r="61" ht="15.75" customHeight="1">
      <c r="A61" s="20"/>
      <c r="B61" s="14" t="s">
        <v>233</v>
      </c>
      <c r="C61" s="15" t="s">
        <v>234</v>
      </c>
      <c r="D61" s="16"/>
      <c r="E61" s="22"/>
      <c r="F61" s="18"/>
      <c r="G61" s="19"/>
      <c r="H61" s="18" t="s">
        <v>235</v>
      </c>
      <c r="I61" s="18" t="s">
        <v>97</v>
      </c>
      <c r="J61" s="18"/>
      <c r="K61" s="18" t="b">
        <v>0</v>
      </c>
    </row>
    <row r="62" ht="15.75" customHeight="1">
      <c r="A62" s="20"/>
      <c r="B62" s="14" t="s">
        <v>236</v>
      </c>
      <c r="C62" s="15" t="s">
        <v>237</v>
      </c>
      <c r="D62" s="16" t="s">
        <v>238</v>
      </c>
      <c r="E62" s="41" t="s">
        <v>239</v>
      </c>
      <c r="F62" s="42" t="s">
        <v>20</v>
      </c>
      <c r="G62" s="43">
        <v>1262.0</v>
      </c>
      <c r="H62" s="18" t="s">
        <v>21</v>
      </c>
      <c r="I62" s="18" t="s">
        <v>97</v>
      </c>
      <c r="J62" s="18"/>
      <c r="K62" s="18" t="b">
        <v>1</v>
      </c>
    </row>
    <row r="63" ht="15.75" customHeight="1">
      <c r="A63" s="20"/>
      <c r="B63" s="14" t="s">
        <v>240</v>
      </c>
      <c r="C63" s="15" t="s">
        <v>241</v>
      </c>
      <c r="D63" s="16" t="s">
        <v>242</v>
      </c>
      <c r="E63" s="41" t="s">
        <v>243</v>
      </c>
      <c r="F63" s="42"/>
      <c r="G63" s="43"/>
      <c r="H63" s="18" t="s">
        <v>47</v>
      </c>
      <c r="I63" s="18" t="s">
        <v>97</v>
      </c>
      <c r="J63" s="18"/>
      <c r="K63" s="18" t="b">
        <v>0</v>
      </c>
    </row>
    <row r="64" ht="15.75" customHeight="1">
      <c r="A64" s="7"/>
      <c r="B64" s="14" t="s">
        <v>244</v>
      </c>
      <c r="C64" s="15" t="s">
        <v>245</v>
      </c>
      <c r="D64" s="16" t="s">
        <v>246</v>
      </c>
      <c r="E64" s="22" t="s">
        <v>247</v>
      </c>
      <c r="F64" s="18" t="s">
        <v>20</v>
      </c>
      <c r="G64" s="19">
        <v>1433.0</v>
      </c>
      <c r="H64" s="18" t="s">
        <v>21</v>
      </c>
      <c r="I64" s="18" t="s">
        <v>97</v>
      </c>
      <c r="J64" s="18"/>
      <c r="K64" s="18" t="b">
        <v>1</v>
      </c>
    </row>
    <row r="65" ht="15.75" customHeight="1">
      <c r="A65" s="44"/>
      <c r="B65" s="25"/>
      <c r="C65" s="25"/>
      <c r="D65" s="25"/>
      <c r="E65" s="25"/>
      <c r="F65" s="25"/>
      <c r="G65" s="25"/>
      <c r="H65" s="25"/>
      <c r="I65" s="25"/>
      <c r="J65" s="25"/>
      <c r="K65" s="26"/>
    </row>
    <row r="66" ht="15.75" customHeight="1">
      <c r="A66" s="45" t="s">
        <v>248</v>
      </c>
      <c r="B66" s="14" t="s">
        <v>249</v>
      </c>
      <c r="C66" s="15" t="s">
        <v>250</v>
      </c>
      <c r="D66" s="16" t="s">
        <v>251</v>
      </c>
      <c r="E66" s="22"/>
      <c r="F66" s="18" t="s">
        <v>20</v>
      </c>
      <c r="G66" s="19">
        <v>4124.0</v>
      </c>
      <c r="H66" s="18" t="s">
        <v>21</v>
      </c>
      <c r="I66" s="18" t="s">
        <v>252</v>
      </c>
      <c r="J66" s="18"/>
      <c r="K66" s="18" t="b">
        <v>1</v>
      </c>
    </row>
    <row r="67" ht="15.75" customHeight="1">
      <c r="A67" s="20"/>
      <c r="B67" s="46" t="s">
        <v>253</v>
      </c>
      <c r="C67" s="47" t="s">
        <v>254</v>
      </c>
      <c r="D67" s="34" t="s">
        <v>255</v>
      </c>
      <c r="E67" s="48" t="s">
        <v>256</v>
      </c>
      <c r="F67" s="49"/>
      <c r="G67" s="50"/>
      <c r="H67" s="51" t="s">
        <v>21</v>
      </c>
      <c r="I67" s="18" t="s">
        <v>97</v>
      </c>
      <c r="J67" s="51"/>
      <c r="K67" s="51" t="b">
        <v>0</v>
      </c>
    </row>
    <row r="68" ht="15.75" customHeight="1">
      <c r="A68" s="20"/>
      <c r="B68" s="14" t="s">
        <v>257</v>
      </c>
      <c r="C68" s="15" t="s">
        <v>258</v>
      </c>
      <c r="D68" s="16" t="s">
        <v>259</v>
      </c>
      <c r="E68" s="22" t="s">
        <v>260</v>
      </c>
      <c r="F68" s="18" t="s">
        <v>20</v>
      </c>
      <c r="G68" s="19">
        <v>1413.0</v>
      </c>
      <c r="H68" s="18" t="s">
        <v>21</v>
      </c>
      <c r="I68" s="18" t="s">
        <v>42</v>
      </c>
      <c r="J68" s="18"/>
      <c r="K68" s="18" t="b">
        <v>1</v>
      </c>
    </row>
    <row r="69" ht="15.75" customHeight="1">
      <c r="A69" s="20"/>
      <c r="B69" s="14" t="s">
        <v>261</v>
      </c>
      <c r="C69" s="15" t="s">
        <v>262</v>
      </c>
      <c r="D69" s="16" t="s">
        <v>263</v>
      </c>
      <c r="E69" s="22" t="s">
        <v>264</v>
      </c>
      <c r="F69" s="18"/>
      <c r="G69" s="19"/>
      <c r="H69" s="18" t="s">
        <v>21</v>
      </c>
      <c r="I69" s="18" t="s">
        <v>42</v>
      </c>
      <c r="J69" s="18"/>
      <c r="K69" s="18" t="b">
        <v>0</v>
      </c>
    </row>
    <row r="70" ht="15.75" customHeight="1">
      <c r="A70" s="20"/>
      <c r="B70" s="14" t="s">
        <v>265</v>
      </c>
      <c r="C70" s="15" t="s">
        <v>266</v>
      </c>
      <c r="D70" s="16" t="s">
        <v>267</v>
      </c>
      <c r="E70" s="22" t="s">
        <v>268</v>
      </c>
      <c r="F70" s="18" t="s">
        <v>20</v>
      </c>
      <c r="G70" s="19">
        <v>1349.0</v>
      </c>
      <c r="H70" s="18" t="s">
        <v>21</v>
      </c>
      <c r="I70" s="18" t="s">
        <v>42</v>
      </c>
      <c r="J70" s="18"/>
      <c r="K70" s="18" t="b">
        <v>1</v>
      </c>
    </row>
    <row r="71" ht="15.75" customHeight="1">
      <c r="A71" s="20"/>
      <c r="B71" s="14" t="s">
        <v>269</v>
      </c>
      <c r="C71" s="15" t="s">
        <v>270</v>
      </c>
      <c r="D71" s="16" t="s">
        <v>271</v>
      </c>
      <c r="E71" s="22" t="s">
        <v>272</v>
      </c>
      <c r="F71" s="18" t="s">
        <v>20</v>
      </c>
      <c r="G71" s="19">
        <v>238.0</v>
      </c>
      <c r="H71" s="18" t="s">
        <v>21</v>
      </c>
      <c r="I71" s="18" t="s">
        <v>42</v>
      </c>
      <c r="J71" s="18"/>
      <c r="K71" s="18" t="b">
        <v>1</v>
      </c>
    </row>
    <row r="72" ht="15.75" customHeight="1">
      <c r="A72" s="20"/>
      <c r="B72" s="14" t="s">
        <v>273</v>
      </c>
      <c r="C72" s="15" t="s">
        <v>274</v>
      </c>
      <c r="D72" s="16" t="s">
        <v>275</v>
      </c>
      <c r="E72" s="22" t="s">
        <v>276</v>
      </c>
      <c r="F72" s="18" t="s">
        <v>20</v>
      </c>
      <c r="G72" s="19" t="s">
        <v>277</v>
      </c>
      <c r="H72" s="18" t="s">
        <v>21</v>
      </c>
      <c r="I72" s="18" t="s">
        <v>42</v>
      </c>
      <c r="J72" s="18"/>
      <c r="K72" s="18" t="b">
        <v>0</v>
      </c>
    </row>
    <row r="73" ht="15.75" customHeight="1">
      <c r="A73" s="20"/>
      <c r="B73" s="14" t="s">
        <v>278</v>
      </c>
      <c r="C73" s="15" t="s">
        <v>279</v>
      </c>
      <c r="D73" s="16" t="s">
        <v>280</v>
      </c>
      <c r="E73" s="22" t="s">
        <v>281</v>
      </c>
      <c r="F73" s="18" t="s">
        <v>20</v>
      </c>
      <c r="G73" s="19">
        <v>1343.0</v>
      </c>
      <c r="H73" s="18" t="s">
        <v>21</v>
      </c>
      <c r="I73" s="18" t="s">
        <v>174</v>
      </c>
      <c r="J73" s="18"/>
      <c r="K73" s="18" t="b">
        <v>1</v>
      </c>
    </row>
    <row r="74" ht="15.75" customHeight="1">
      <c r="A74" s="20"/>
      <c r="B74" s="14" t="s">
        <v>282</v>
      </c>
      <c r="C74" s="15" t="s">
        <v>283</v>
      </c>
      <c r="D74" s="16" t="s">
        <v>284</v>
      </c>
      <c r="E74" s="22" t="s">
        <v>285</v>
      </c>
      <c r="F74" s="18" t="s">
        <v>20</v>
      </c>
      <c r="G74" s="19">
        <v>1345.0</v>
      </c>
      <c r="H74" s="18" t="s">
        <v>21</v>
      </c>
      <c r="I74" s="18" t="s">
        <v>42</v>
      </c>
      <c r="J74" s="18"/>
      <c r="K74" s="18" t="b">
        <v>1</v>
      </c>
    </row>
    <row r="75" ht="15.75" customHeight="1">
      <c r="A75" s="20"/>
      <c r="B75" s="52" t="s">
        <v>286</v>
      </c>
      <c r="C75" s="53" t="s">
        <v>287</v>
      </c>
      <c r="D75" s="54" t="s">
        <v>288</v>
      </c>
      <c r="E75" s="55" t="s">
        <v>289</v>
      </c>
      <c r="F75" s="18"/>
      <c r="G75" s="19"/>
      <c r="H75" s="18" t="s">
        <v>21</v>
      </c>
      <c r="I75" s="18" t="s">
        <v>42</v>
      </c>
      <c r="J75" s="18"/>
      <c r="K75" s="18" t="b">
        <v>0</v>
      </c>
    </row>
    <row r="76" ht="15.75" customHeight="1">
      <c r="A76" s="20"/>
      <c r="B76" s="14" t="s">
        <v>290</v>
      </c>
      <c r="C76" s="15" t="s">
        <v>291</v>
      </c>
      <c r="D76" s="16" t="s">
        <v>292</v>
      </c>
      <c r="E76" s="22" t="s">
        <v>293</v>
      </c>
      <c r="F76" s="18" t="s">
        <v>20</v>
      </c>
      <c r="G76" s="19">
        <v>1326.0</v>
      </c>
      <c r="H76" s="18" t="s">
        <v>21</v>
      </c>
      <c r="I76" s="18" t="s">
        <v>42</v>
      </c>
      <c r="J76" s="18"/>
      <c r="K76" s="18" t="b">
        <v>1</v>
      </c>
    </row>
    <row r="77" ht="15.75" customHeight="1">
      <c r="A77" s="20"/>
      <c r="B77" s="14" t="s">
        <v>294</v>
      </c>
      <c r="C77" s="15" t="s">
        <v>295</v>
      </c>
      <c r="D77" s="16" t="s">
        <v>296</v>
      </c>
      <c r="E77" s="22" t="s">
        <v>297</v>
      </c>
      <c r="F77" s="18" t="s">
        <v>20</v>
      </c>
      <c r="G77" s="19">
        <v>1079.0</v>
      </c>
      <c r="H77" s="18" t="s">
        <v>21</v>
      </c>
      <c r="I77" s="18" t="s">
        <v>42</v>
      </c>
      <c r="J77" s="18"/>
      <c r="K77" s="18" t="b">
        <v>1</v>
      </c>
    </row>
    <row r="78" ht="15.75" customHeight="1">
      <c r="A78" s="20"/>
      <c r="B78" s="14" t="s">
        <v>298</v>
      </c>
      <c r="C78" s="15" t="s">
        <v>299</v>
      </c>
      <c r="D78" s="23" t="s">
        <v>300</v>
      </c>
      <c r="E78" s="22" t="s">
        <v>301</v>
      </c>
      <c r="F78" s="18"/>
      <c r="G78" s="19"/>
      <c r="H78" s="18" t="s">
        <v>21</v>
      </c>
      <c r="I78" s="18" t="s">
        <v>48</v>
      </c>
      <c r="J78" s="18"/>
      <c r="K78" s="18" t="b">
        <v>0</v>
      </c>
    </row>
    <row r="79" ht="15.75" customHeight="1">
      <c r="A79" s="7"/>
      <c r="B79" s="14" t="s">
        <v>302</v>
      </c>
      <c r="C79" s="15" t="s">
        <v>303</v>
      </c>
      <c r="D79" s="16" t="s">
        <v>304</v>
      </c>
      <c r="E79" s="22" t="s">
        <v>305</v>
      </c>
      <c r="F79" s="18" t="s">
        <v>306</v>
      </c>
      <c r="G79" s="19">
        <v>1293.0</v>
      </c>
      <c r="H79" s="18" t="s">
        <v>21</v>
      </c>
      <c r="I79" s="18" t="s">
        <v>42</v>
      </c>
      <c r="J79" s="18"/>
      <c r="K79" s="18" t="b">
        <v>1</v>
      </c>
    </row>
    <row r="80" ht="15.75" customHeight="1">
      <c r="A80" s="56"/>
      <c r="B80" s="57"/>
      <c r="C80" s="58"/>
      <c r="D80" s="59"/>
      <c r="E80" s="60"/>
      <c r="G80" s="61"/>
    </row>
    <row r="81" ht="15.75" customHeight="1">
      <c r="A81" s="56"/>
      <c r="B81" s="57"/>
      <c r="C81" s="58"/>
      <c r="D81" s="59"/>
      <c r="E81" s="60"/>
      <c r="G81" s="61"/>
    </row>
    <row r="82" ht="15.75" customHeight="1">
      <c r="A82" s="56"/>
      <c r="B82" s="57"/>
      <c r="C82" s="58"/>
      <c r="D82" s="59"/>
      <c r="E82" s="60"/>
      <c r="G82" s="61"/>
    </row>
    <row r="83" ht="15.75" customHeight="1">
      <c r="A83" s="56"/>
      <c r="B83" s="57"/>
      <c r="C83" s="58"/>
      <c r="E83" s="60"/>
      <c r="G83" s="61"/>
    </row>
    <row r="84" ht="15.75" customHeight="1">
      <c r="A84" s="56"/>
      <c r="B84" s="57"/>
      <c r="C84" s="58"/>
      <c r="D84" s="59"/>
      <c r="E84" s="60"/>
      <c r="G84" s="61"/>
    </row>
    <row r="85" ht="15.75" customHeight="1">
      <c r="A85" s="56"/>
      <c r="B85" s="57"/>
      <c r="C85" s="58"/>
      <c r="D85" s="59"/>
      <c r="E85" s="60"/>
      <c r="G85" s="61"/>
    </row>
    <row r="86" ht="15.75" customHeight="1">
      <c r="A86" s="56"/>
      <c r="B86" s="57"/>
      <c r="C86" s="58"/>
      <c r="D86" s="59"/>
      <c r="E86" s="60"/>
      <c r="G86" s="61"/>
    </row>
    <row r="87" ht="15.75" customHeight="1">
      <c r="A87" s="56"/>
      <c r="B87" s="57"/>
      <c r="C87" s="58"/>
      <c r="D87" s="59"/>
      <c r="E87" s="60"/>
      <c r="G87" s="61"/>
    </row>
    <row r="88" ht="15.75" customHeight="1">
      <c r="A88" s="56"/>
      <c r="B88" s="57"/>
      <c r="C88" s="58"/>
      <c r="D88" s="59"/>
      <c r="E88" s="60"/>
      <c r="G88" s="61"/>
    </row>
    <row r="89" ht="15.75" customHeight="1">
      <c r="A89" s="56"/>
      <c r="B89" s="57"/>
      <c r="C89" s="58"/>
      <c r="D89" s="59"/>
      <c r="E89" s="60"/>
      <c r="G89" s="61"/>
    </row>
    <row r="90" ht="15.75" customHeight="1">
      <c r="A90" s="56"/>
      <c r="B90" s="57"/>
      <c r="C90" s="58"/>
      <c r="D90" s="59"/>
      <c r="E90" s="60"/>
      <c r="G90" s="61"/>
    </row>
    <row r="91" ht="15.75" customHeight="1">
      <c r="A91" s="56"/>
      <c r="B91" s="57"/>
      <c r="C91" s="58"/>
      <c r="D91" s="59"/>
      <c r="E91" s="60"/>
      <c r="G91" s="61"/>
    </row>
    <row r="92" ht="15.75" customHeight="1">
      <c r="A92" s="56"/>
      <c r="B92" s="57"/>
      <c r="C92" s="58"/>
      <c r="D92" s="59"/>
      <c r="E92" s="60"/>
      <c r="G92" s="61"/>
    </row>
    <row r="93" ht="15.75" customHeight="1">
      <c r="A93" s="56"/>
      <c r="B93" s="57"/>
      <c r="C93" s="58"/>
      <c r="D93" s="59"/>
      <c r="E93" s="60"/>
      <c r="G93" s="61"/>
    </row>
    <row r="94" ht="15.75" customHeight="1">
      <c r="A94" s="56"/>
      <c r="B94" s="57"/>
      <c r="C94" s="58"/>
      <c r="D94" s="59"/>
      <c r="E94" s="60"/>
      <c r="G94" s="61"/>
    </row>
    <row r="95" ht="15.75" customHeight="1">
      <c r="A95" s="56"/>
      <c r="B95" s="57"/>
      <c r="C95" s="58"/>
      <c r="D95" s="59"/>
      <c r="E95" s="60"/>
      <c r="G95" s="61"/>
    </row>
    <row r="96" ht="15.75" customHeight="1">
      <c r="A96" s="56"/>
      <c r="B96" s="57"/>
      <c r="C96" s="58"/>
      <c r="D96" s="59"/>
      <c r="E96" s="60"/>
      <c r="G96" s="61"/>
    </row>
    <row r="97" ht="15.75" customHeight="1">
      <c r="A97" s="56"/>
      <c r="B97" s="57"/>
      <c r="C97" s="58"/>
      <c r="D97" s="59"/>
      <c r="E97" s="60"/>
      <c r="G97" s="61"/>
    </row>
    <row r="98" ht="15.75" customHeight="1">
      <c r="A98" s="56"/>
      <c r="B98" s="57"/>
      <c r="C98" s="58"/>
      <c r="D98" s="59"/>
      <c r="E98" s="60"/>
      <c r="G98" s="61"/>
    </row>
    <row r="99" ht="15.75" customHeight="1">
      <c r="A99" s="56"/>
      <c r="B99" s="57"/>
      <c r="C99" s="58"/>
      <c r="D99" s="59"/>
      <c r="E99" s="60"/>
      <c r="G99" s="61"/>
    </row>
    <row r="100" ht="15.75" customHeight="1">
      <c r="A100" s="56"/>
      <c r="B100" s="57"/>
      <c r="C100" s="58"/>
      <c r="D100" s="59"/>
      <c r="E100" s="60"/>
      <c r="G100" s="61"/>
    </row>
    <row r="101" ht="15.75" customHeight="1">
      <c r="A101" s="56"/>
      <c r="B101" s="57"/>
      <c r="C101" s="58"/>
      <c r="D101" s="59"/>
      <c r="E101" s="60"/>
      <c r="G101" s="61"/>
    </row>
    <row r="102" ht="15.75" customHeight="1">
      <c r="A102" s="56"/>
      <c r="B102" s="57"/>
      <c r="C102" s="58"/>
      <c r="D102" s="59"/>
      <c r="E102" s="60"/>
      <c r="G102" s="61"/>
    </row>
    <row r="103" ht="15.75" customHeight="1">
      <c r="A103" s="56"/>
      <c r="B103" s="57"/>
      <c r="C103" s="58"/>
      <c r="D103" s="59"/>
      <c r="E103" s="60"/>
      <c r="G103" s="61"/>
    </row>
    <row r="104" ht="15.75" customHeight="1">
      <c r="A104" s="56"/>
      <c r="B104" s="57"/>
      <c r="C104" s="58"/>
      <c r="D104" s="59"/>
      <c r="E104" s="60"/>
      <c r="G104" s="61"/>
    </row>
    <row r="105" ht="15.75" customHeight="1">
      <c r="A105" s="56"/>
      <c r="B105" s="57"/>
      <c r="C105" s="58"/>
      <c r="D105" s="59"/>
      <c r="E105" s="60"/>
      <c r="G105" s="61"/>
    </row>
    <row r="106" ht="15.75" customHeight="1">
      <c r="A106" s="56"/>
      <c r="B106" s="57"/>
      <c r="C106" s="58"/>
      <c r="D106" s="59"/>
      <c r="E106" s="60"/>
      <c r="G106" s="61"/>
    </row>
    <row r="107" ht="15.75" customHeight="1">
      <c r="A107" s="56"/>
      <c r="B107" s="57"/>
      <c r="C107" s="58"/>
      <c r="D107" s="59"/>
      <c r="E107" s="60"/>
      <c r="G107" s="61"/>
    </row>
    <row r="108" ht="15.75" customHeight="1">
      <c r="A108" s="56"/>
      <c r="B108" s="57"/>
      <c r="C108" s="58"/>
      <c r="D108" s="59"/>
      <c r="E108" s="60"/>
      <c r="G108" s="61"/>
    </row>
    <row r="109" ht="15.75" customHeight="1">
      <c r="A109" s="56"/>
      <c r="B109" s="57"/>
      <c r="C109" s="58"/>
      <c r="D109" s="59"/>
      <c r="E109" s="60"/>
      <c r="G109" s="61"/>
    </row>
    <row r="110" ht="15.75" customHeight="1">
      <c r="A110" s="56"/>
      <c r="B110" s="57"/>
      <c r="C110" s="58"/>
      <c r="D110" s="59"/>
      <c r="E110" s="60"/>
      <c r="G110" s="61"/>
    </row>
    <row r="111" ht="15.75" customHeight="1">
      <c r="A111" s="56"/>
      <c r="B111" s="57"/>
      <c r="C111" s="58"/>
      <c r="D111" s="59"/>
      <c r="E111" s="60"/>
      <c r="G111" s="61"/>
    </row>
    <row r="112" ht="15.75" customHeight="1">
      <c r="A112" s="56"/>
      <c r="B112" s="57"/>
      <c r="C112" s="58"/>
      <c r="D112" s="59"/>
      <c r="E112" s="60"/>
      <c r="G112" s="61"/>
    </row>
    <row r="113" ht="15.75" customHeight="1">
      <c r="A113" s="56"/>
      <c r="B113" s="57"/>
      <c r="C113" s="58"/>
      <c r="D113" s="59"/>
      <c r="E113" s="60"/>
      <c r="G113" s="61"/>
    </row>
    <row r="114" ht="15.75" customHeight="1">
      <c r="A114" s="56"/>
      <c r="B114" s="57"/>
      <c r="C114" s="58"/>
      <c r="D114" s="59"/>
      <c r="E114" s="60"/>
      <c r="G114" s="61"/>
    </row>
    <row r="115" ht="15.75" customHeight="1">
      <c r="A115" s="56"/>
      <c r="B115" s="57"/>
      <c r="C115" s="58"/>
      <c r="D115" s="59"/>
      <c r="E115" s="60"/>
      <c r="G115" s="61"/>
    </row>
    <row r="116" ht="15.75" customHeight="1">
      <c r="A116" s="56"/>
      <c r="B116" s="57"/>
      <c r="C116" s="58"/>
      <c r="D116" s="59"/>
      <c r="E116" s="60"/>
      <c r="G116" s="61"/>
    </row>
    <row r="117" ht="15.75" customHeight="1">
      <c r="A117" s="56"/>
      <c r="B117" s="57"/>
      <c r="C117" s="58"/>
      <c r="D117" s="59"/>
      <c r="E117" s="60"/>
      <c r="G117" s="61"/>
    </row>
    <row r="118" ht="15.75" customHeight="1">
      <c r="A118" s="56"/>
      <c r="B118" s="57"/>
      <c r="C118" s="58"/>
      <c r="D118" s="59"/>
      <c r="E118" s="60"/>
      <c r="G118" s="61"/>
    </row>
    <row r="119" ht="15.75" customHeight="1">
      <c r="A119" s="56"/>
      <c r="B119" s="57"/>
      <c r="C119" s="58"/>
      <c r="D119" s="59"/>
      <c r="E119" s="60"/>
      <c r="G119" s="61"/>
    </row>
    <row r="120" ht="15.75" customHeight="1">
      <c r="A120" s="56"/>
      <c r="B120" s="57"/>
      <c r="C120" s="58"/>
      <c r="D120" s="59"/>
      <c r="E120" s="60"/>
      <c r="G120" s="61"/>
    </row>
    <row r="121" ht="15.75" customHeight="1">
      <c r="A121" s="56"/>
      <c r="B121" s="57"/>
      <c r="C121" s="58"/>
      <c r="D121" s="59"/>
      <c r="E121" s="60"/>
      <c r="G121" s="61"/>
    </row>
    <row r="122" ht="15.75" customHeight="1">
      <c r="A122" s="56"/>
      <c r="B122" s="57"/>
      <c r="C122" s="58"/>
      <c r="D122" s="59"/>
      <c r="E122" s="60"/>
      <c r="G122" s="61"/>
    </row>
    <row r="123" ht="15.75" customHeight="1">
      <c r="A123" s="56"/>
      <c r="B123" s="57"/>
      <c r="C123" s="58"/>
      <c r="D123" s="59"/>
      <c r="E123" s="60"/>
      <c r="G123" s="61"/>
    </row>
    <row r="124" ht="15.75" customHeight="1">
      <c r="A124" s="56"/>
      <c r="B124" s="57"/>
      <c r="C124" s="58"/>
      <c r="D124" s="59"/>
      <c r="E124" s="60"/>
      <c r="G124" s="61"/>
    </row>
    <row r="125" ht="15.75" customHeight="1">
      <c r="A125" s="56"/>
      <c r="B125" s="57"/>
      <c r="C125" s="58"/>
      <c r="D125" s="59"/>
      <c r="E125" s="60"/>
      <c r="G125" s="61"/>
    </row>
    <row r="126" ht="15.75" customHeight="1">
      <c r="A126" s="56"/>
      <c r="B126" s="57"/>
      <c r="C126" s="58"/>
      <c r="D126" s="59"/>
      <c r="E126" s="60"/>
      <c r="G126" s="61"/>
    </row>
    <row r="127" ht="15.75" customHeight="1">
      <c r="A127" s="56"/>
      <c r="B127" s="57"/>
      <c r="C127" s="58"/>
      <c r="D127" s="59"/>
      <c r="E127" s="60"/>
      <c r="G127" s="61"/>
    </row>
    <row r="128" ht="15.75" customHeight="1">
      <c r="A128" s="56"/>
      <c r="B128" s="57"/>
      <c r="C128" s="58"/>
      <c r="D128" s="59"/>
      <c r="E128" s="60"/>
      <c r="G128" s="61"/>
    </row>
    <row r="129" ht="15.75" customHeight="1">
      <c r="A129" s="56"/>
      <c r="B129" s="57"/>
      <c r="C129" s="58"/>
      <c r="D129" s="59"/>
      <c r="E129" s="60"/>
      <c r="G129" s="61"/>
    </row>
    <row r="130" ht="15.75" customHeight="1">
      <c r="A130" s="56"/>
      <c r="B130" s="57"/>
      <c r="C130" s="58"/>
      <c r="D130" s="59"/>
      <c r="E130" s="60"/>
      <c r="G130" s="61"/>
    </row>
    <row r="131" ht="15.75" customHeight="1">
      <c r="A131" s="56"/>
      <c r="B131" s="57"/>
      <c r="C131" s="58"/>
      <c r="D131" s="59"/>
      <c r="E131" s="60"/>
      <c r="G131" s="61"/>
    </row>
    <row r="132" ht="15.75" customHeight="1">
      <c r="A132" s="56"/>
      <c r="B132" s="57"/>
      <c r="C132" s="58"/>
      <c r="D132" s="59"/>
      <c r="E132" s="60"/>
      <c r="G132" s="61"/>
    </row>
    <row r="133" ht="15.75" customHeight="1">
      <c r="A133" s="56"/>
      <c r="B133" s="57"/>
      <c r="C133" s="58"/>
      <c r="D133" s="59"/>
      <c r="E133" s="60"/>
      <c r="G133" s="61"/>
    </row>
    <row r="134" ht="15.75" customHeight="1">
      <c r="A134" s="56"/>
      <c r="B134" s="57"/>
      <c r="C134" s="58"/>
      <c r="D134" s="59"/>
      <c r="E134" s="60"/>
      <c r="G134" s="61"/>
    </row>
    <row r="135" ht="15.75" customHeight="1">
      <c r="A135" s="56"/>
      <c r="B135" s="57"/>
      <c r="C135" s="58"/>
      <c r="D135" s="59"/>
      <c r="E135" s="60"/>
      <c r="G135" s="61"/>
    </row>
    <row r="136" ht="15.75" customHeight="1">
      <c r="A136" s="56"/>
      <c r="B136" s="57"/>
      <c r="C136" s="58"/>
      <c r="D136" s="59"/>
      <c r="E136" s="60"/>
      <c r="G136" s="61"/>
    </row>
    <row r="137" ht="15.75" customHeight="1">
      <c r="A137" s="56"/>
      <c r="B137" s="57"/>
      <c r="C137" s="58"/>
      <c r="D137" s="59"/>
      <c r="E137" s="60"/>
      <c r="G137" s="61"/>
    </row>
    <row r="138" ht="15.75" customHeight="1">
      <c r="A138" s="56"/>
      <c r="B138" s="57"/>
      <c r="C138" s="58"/>
      <c r="D138" s="59"/>
      <c r="E138" s="60"/>
      <c r="G138" s="61"/>
    </row>
    <row r="139" ht="15.75" customHeight="1">
      <c r="A139" s="56"/>
      <c r="B139" s="57"/>
      <c r="C139" s="58"/>
      <c r="D139" s="59"/>
      <c r="E139" s="60"/>
      <c r="G139" s="61"/>
    </row>
    <row r="140" ht="15.75" customHeight="1">
      <c r="A140" s="56"/>
      <c r="B140" s="57"/>
      <c r="C140" s="58"/>
      <c r="D140" s="59"/>
      <c r="E140" s="60"/>
      <c r="G140" s="61"/>
    </row>
    <row r="141" ht="15.75" customHeight="1">
      <c r="A141" s="56"/>
      <c r="B141" s="57"/>
      <c r="C141" s="58"/>
      <c r="D141" s="59"/>
      <c r="E141" s="60"/>
      <c r="G141" s="61"/>
    </row>
    <row r="142" ht="15.75" customHeight="1">
      <c r="A142" s="56"/>
      <c r="B142" s="57"/>
      <c r="C142" s="58"/>
      <c r="D142" s="59"/>
      <c r="E142" s="60"/>
      <c r="G142" s="61"/>
    </row>
    <row r="143" ht="15.75" customHeight="1">
      <c r="A143" s="56"/>
      <c r="B143" s="57"/>
      <c r="C143" s="58"/>
      <c r="D143" s="59"/>
      <c r="E143" s="60"/>
      <c r="G143" s="61"/>
    </row>
    <row r="144" ht="15.75" customHeight="1">
      <c r="A144" s="56"/>
      <c r="B144" s="57"/>
      <c r="C144" s="58"/>
      <c r="D144" s="59"/>
      <c r="E144" s="60"/>
      <c r="G144" s="61"/>
    </row>
    <row r="145" ht="15.75" customHeight="1">
      <c r="A145" s="56"/>
      <c r="B145" s="57"/>
      <c r="C145" s="58"/>
      <c r="D145" s="59"/>
      <c r="E145" s="60"/>
      <c r="G145" s="61"/>
    </row>
    <row r="146" ht="15.75" customHeight="1">
      <c r="A146" s="56"/>
      <c r="B146" s="57"/>
      <c r="C146" s="58"/>
      <c r="D146" s="59"/>
      <c r="E146" s="60"/>
      <c r="G146" s="61"/>
    </row>
    <row r="147" ht="15.75" customHeight="1">
      <c r="A147" s="56"/>
      <c r="B147" s="57"/>
      <c r="C147" s="58"/>
      <c r="D147" s="59"/>
      <c r="E147" s="60"/>
      <c r="G147" s="61"/>
    </row>
    <row r="148" ht="15.75" customHeight="1">
      <c r="A148" s="56"/>
      <c r="B148" s="57"/>
      <c r="C148" s="58"/>
      <c r="D148" s="59"/>
      <c r="E148" s="60"/>
      <c r="G148" s="61"/>
    </row>
    <row r="149" ht="15.75" customHeight="1">
      <c r="A149" s="56"/>
      <c r="B149" s="57"/>
      <c r="C149" s="58"/>
      <c r="D149" s="59"/>
      <c r="E149" s="60"/>
      <c r="G149" s="61"/>
    </row>
    <row r="150" ht="15.75" customHeight="1">
      <c r="A150" s="56"/>
      <c r="B150" s="57"/>
      <c r="C150" s="58"/>
      <c r="D150" s="59"/>
      <c r="E150" s="60"/>
      <c r="G150" s="61"/>
    </row>
    <row r="151" ht="15.75" customHeight="1">
      <c r="A151" s="56"/>
      <c r="B151" s="57"/>
      <c r="C151" s="58"/>
      <c r="D151" s="59"/>
      <c r="E151" s="60"/>
      <c r="G151" s="61"/>
    </row>
    <row r="152" ht="15.75" customHeight="1">
      <c r="A152" s="56"/>
      <c r="B152" s="57"/>
      <c r="C152" s="58"/>
      <c r="D152" s="59"/>
      <c r="E152" s="60"/>
      <c r="G152" s="61"/>
    </row>
    <row r="153" ht="15.75" customHeight="1">
      <c r="A153" s="56"/>
      <c r="B153" s="57"/>
      <c r="C153" s="58"/>
      <c r="D153" s="59"/>
      <c r="E153" s="60"/>
      <c r="G153" s="61"/>
    </row>
    <row r="154" ht="15.75" customHeight="1">
      <c r="A154" s="56"/>
      <c r="B154" s="57"/>
      <c r="C154" s="58"/>
      <c r="D154" s="59"/>
      <c r="E154" s="60"/>
      <c r="G154" s="61"/>
    </row>
    <row r="155" ht="15.75" customHeight="1">
      <c r="A155" s="56"/>
      <c r="B155" s="57"/>
      <c r="C155" s="58"/>
      <c r="D155" s="59"/>
      <c r="E155" s="60"/>
      <c r="G155" s="61"/>
    </row>
    <row r="156" ht="15.75" customHeight="1">
      <c r="A156" s="56"/>
      <c r="B156" s="57"/>
      <c r="C156" s="58"/>
      <c r="D156" s="59"/>
      <c r="E156" s="60"/>
      <c r="G156" s="61"/>
    </row>
    <row r="157" ht="15.75" customHeight="1">
      <c r="A157" s="56"/>
      <c r="B157" s="57"/>
      <c r="C157" s="58"/>
      <c r="D157" s="59"/>
      <c r="E157" s="60"/>
      <c r="G157" s="61"/>
    </row>
    <row r="158" ht="15.75" customHeight="1">
      <c r="A158" s="56"/>
      <c r="B158" s="57"/>
      <c r="C158" s="58"/>
      <c r="D158" s="59"/>
      <c r="E158" s="60"/>
      <c r="G158" s="61"/>
    </row>
    <row r="159" ht="15.75" customHeight="1">
      <c r="A159" s="56"/>
      <c r="B159" s="57"/>
      <c r="C159" s="58"/>
      <c r="D159" s="59"/>
      <c r="E159" s="60"/>
      <c r="G159" s="61"/>
    </row>
    <row r="160" ht="15.75" customHeight="1">
      <c r="A160" s="56"/>
      <c r="B160" s="57"/>
      <c r="C160" s="58"/>
      <c r="D160" s="59"/>
      <c r="E160" s="60"/>
      <c r="G160" s="61"/>
    </row>
    <row r="161" ht="15.75" customHeight="1">
      <c r="A161" s="56"/>
      <c r="B161" s="57"/>
      <c r="C161" s="58"/>
      <c r="D161" s="59"/>
      <c r="E161" s="60"/>
      <c r="G161" s="61"/>
    </row>
    <row r="162" ht="15.75" customHeight="1">
      <c r="A162" s="56"/>
      <c r="B162" s="57"/>
      <c r="C162" s="58"/>
      <c r="D162" s="59"/>
      <c r="E162" s="60"/>
      <c r="G162" s="61"/>
    </row>
    <row r="163" ht="15.75" customHeight="1">
      <c r="A163" s="56"/>
      <c r="B163" s="57"/>
      <c r="C163" s="58"/>
      <c r="D163" s="59"/>
      <c r="E163" s="60"/>
      <c r="G163" s="61"/>
    </row>
    <row r="164" ht="15.75" customHeight="1">
      <c r="A164" s="56"/>
      <c r="B164" s="57"/>
      <c r="C164" s="58"/>
      <c r="D164" s="59"/>
      <c r="E164" s="60"/>
      <c r="G164" s="61"/>
    </row>
    <row r="165" ht="15.75" customHeight="1">
      <c r="A165" s="56"/>
      <c r="B165" s="57"/>
      <c r="C165" s="58"/>
      <c r="D165" s="59"/>
      <c r="E165" s="60"/>
      <c r="G165" s="61"/>
    </row>
    <row r="166" ht="15.75" customHeight="1">
      <c r="A166" s="56"/>
      <c r="B166" s="57"/>
      <c r="C166" s="58"/>
      <c r="D166" s="59"/>
      <c r="E166" s="60"/>
      <c r="G166" s="61"/>
    </row>
    <row r="167" ht="15.75" customHeight="1">
      <c r="A167" s="56"/>
      <c r="B167" s="57"/>
      <c r="C167" s="58"/>
      <c r="D167" s="59"/>
      <c r="E167" s="60"/>
      <c r="G167" s="61"/>
    </row>
    <row r="168" ht="15.75" customHeight="1">
      <c r="A168" s="56"/>
      <c r="B168" s="57"/>
      <c r="C168" s="58"/>
      <c r="D168" s="59"/>
      <c r="E168" s="60"/>
      <c r="G168" s="61"/>
    </row>
    <row r="169" ht="15.75" customHeight="1">
      <c r="A169" s="56"/>
      <c r="B169" s="57"/>
      <c r="C169" s="58"/>
      <c r="D169" s="59"/>
      <c r="E169" s="60"/>
      <c r="G169" s="61"/>
    </row>
    <row r="170" ht="15.75" customHeight="1">
      <c r="A170" s="56"/>
      <c r="B170" s="57"/>
      <c r="C170" s="58"/>
      <c r="D170" s="59"/>
      <c r="E170" s="60"/>
      <c r="G170" s="61"/>
    </row>
    <row r="171" ht="15.75" customHeight="1">
      <c r="A171" s="56"/>
      <c r="B171" s="57"/>
      <c r="C171" s="58"/>
      <c r="D171" s="59"/>
      <c r="E171" s="60"/>
      <c r="G171" s="61"/>
    </row>
    <row r="172" ht="15.75" customHeight="1">
      <c r="A172" s="56"/>
      <c r="B172" s="57"/>
      <c r="C172" s="58"/>
      <c r="D172" s="59"/>
      <c r="E172" s="60"/>
      <c r="G172" s="61"/>
    </row>
    <row r="173" ht="15.75" customHeight="1">
      <c r="A173" s="56"/>
      <c r="B173" s="57"/>
      <c r="C173" s="58"/>
      <c r="D173" s="59"/>
      <c r="E173" s="60"/>
      <c r="G173" s="61"/>
    </row>
    <row r="174" ht="15.75" customHeight="1">
      <c r="A174" s="56"/>
      <c r="B174" s="57"/>
      <c r="C174" s="58"/>
      <c r="D174" s="59"/>
      <c r="E174" s="60"/>
      <c r="G174" s="61"/>
    </row>
    <row r="175" ht="15.75" customHeight="1">
      <c r="A175" s="56"/>
      <c r="B175" s="57"/>
      <c r="C175" s="58"/>
      <c r="D175" s="59"/>
      <c r="E175" s="60"/>
      <c r="G175" s="61"/>
    </row>
    <row r="176" ht="15.75" customHeight="1">
      <c r="A176" s="56"/>
      <c r="B176" s="57"/>
      <c r="C176" s="58"/>
      <c r="D176" s="59"/>
      <c r="E176" s="60"/>
      <c r="G176" s="61"/>
    </row>
    <row r="177" ht="15.75" customHeight="1">
      <c r="A177" s="56"/>
      <c r="B177" s="57"/>
      <c r="C177" s="58"/>
      <c r="D177" s="59"/>
      <c r="E177" s="60"/>
      <c r="G177" s="61"/>
    </row>
    <row r="178" ht="15.75" customHeight="1">
      <c r="A178" s="56"/>
      <c r="B178" s="57"/>
      <c r="C178" s="58"/>
      <c r="D178" s="59"/>
      <c r="E178" s="60"/>
      <c r="G178" s="61"/>
    </row>
    <row r="179" ht="15.75" customHeight="1">
      <c r="A179" s="56"/>
      <c r="B179" s="57"/>
      <c r="C179" s="58"/>
      <c r="D179" s="59"/>
      <c r="E179" s="60"/>
      <c r="G179" s="61"/>
    </row>
    <row r="180" ht="15.75" customHeight="1">
      <c r="A180" s="56"/>
      <c r="B180" s="57"/>
      <c r="C180" s="58"/>
      <c r="D180" s="59"/>
      <c r="E180" s="60"/>
      <c r="G180" s="61"/>
    </row>
    <row r="181" ht="15.75" customHeight="1">
      <c r="A181" s="56"/>
      <c r="B181" s="57"/>
      <c r="C181" s="58"/>
      <c r="D181" s="59"/>
      <c r="E181" s="60"/>
      <c r="G181" s="61"/>
    </row>
    <row r="182" ht="15.75" customHeight="1">
      <c r="A182" s="56"/>
      <c r="B182" s="57"/>
      <c r="C182" s="58"/>
      <c r="D182" s="59"/>
      <c r="E182" s="60"/>
      <c r="G182" s="61"/>
    </row>
    <row r="183" ht="15.75" customHeight="1">
      <c r="A183" s="56"/>
      <c r="B183" s="57"/>
      <c r="C183" s="58"/>
      <c r="D183" s="59"/>
      <c r="E183" s="60"/>
      <c r="G183" s="61"/>
    </row>
    <row r="184" ht="15.75" customHeight="1">
      <c r="A184" s="56"/>
      <c r="B184" s="57"/>
      <c r="C184" s="58"/>
      <c r="D184" s="59"/>
      <c r="E184" s="60"/>
      <c r="G184" s="61"/>
    </row>
    <row r="185" ht="15.75" customHeight="1">
      <c r="A185" s="56"/>
      <c r="B185" s="57"/>
      <c r="C185" s="58"/>
      <c r="D185" s="59"/>
      <c r="E185" s="60"/>
      <c r="G185" s="61"/>
    </row>
    <row r="186" ht="15.75" customHeight="1">
      <c r="A186" s="56"/>
      <c r="B186" s="57"/>
      <c r="C186" s="58"/>
      <c r="D186" s="59"/>
      <c r="E186" s="60"/>
      <c r="G186" s="61"/>
    </row>
    <row r="187" ht="15.75" customHeight="1">
      <c r="A187" s="56"/>
      <c r="B187" s="57"/>
      <c r="C187" s="58"/>
      <c r="D187" s="59"/>
      <c r="E187" s="60"/>
      <c r="G187" s="61"/>
    </row>
    <row r="188" ht="15.75" customHeight="1">
      <c r="A188" s="56"/>
      <c r="B188" s="57"/>
      <c r="C188" s="58"/>
      <c r="D188" s="59"/>
      <c r="E188" s="60"/>
      <c r="G188" s="61"/>
    </row>
    <row r="189" ht="15.75" customHeight="1">
      <c r="A189" s="56"/>
      <c r="B189" s="57"/>
      <c r="C189" s="58"/>
      <c r="D189" s="59"/>
      <c r="E189" s="60"/>
      <c r="G189" s="61"/>
    </row>
    <row r="190" ht="15.75" customHeight="1">
      <c r="A190" s="56"/>
      <c r="B190" s="57"/>
      <c r="C190" s="58"/>
      <c r="D190" s="59"/>
      <c r="E190" s="60"/>
      <c r="G190" s="61"/>
    </row>
    <row r="191" ht="15.75" customHeight="1">
      <c r="A191" s="56"/>
      <c r="B191" s="57"/>
      <c r="C191" s="58"/>
      <c r="D191" s="59"/>
      <c r="E191" s="60"/>
      <c r="G191" s="61"/>
    </row>
    <row r="192" ht="15.75" customHeight="1">
      <c r="A192" s="56"/>
      <c r="B192" s="57"/>
      <c r="C192" s="58"/>
      <c r="D192" s="59"/>
      <c r="E192" s="60"/>
      <c r="G192" s="61"/>
    </row>
    <row r="193" ht="15.75" customHeight="1">
      <c r="A193" s="56"/>
      <c r="B193" s="57"/>
      <c r="C193" s="58"/>
      <c r="D193" s="59"/>
      <c r="E193" s="60"/>
      <c r="G193" s="61"/>
    </row>
    <row r="194" ht="15.75" customHeight="1">
      <c r="A194" s="56"/>
      <c r="B194" s="57"/>
      <c r="C194" s="58"/>
      <c r="D194" s="59"/>
      <c r="E194" s="60"/>
      <c r="G194" s="61"/>
    </row>
    <row r="195" ht="15.75" customHeight="1">
      <c r="A195" s="56"/>
      <c r="B195" s="57"/>
      <c r="C195" s="58"/>
      <c r="D195" s="59"/>
      <c r="E195" s="60"/>
      <c r="G195" s="61"/>
    </row>
    <row r="196" ht="15.75" customHeight="1">
      <c r="A196" s="56"/>
      <c r="B196" s="57"/>
      <c r="C196" s="58"/>
      <c r="D196" s="59"/>
      <c r="E196" s="60"/>
      <c r="G196" s="61"/>
    </row>
    <row r="197" ht="15.75" customHeight="1">
      <c r="A197" s="56"/>
      <c r="B197" s="57"/>
      <c r="C197" s="58"/>
      <c r="D197" s="59"/>
      <c r="E197" s="60"/>
      <c r="G197" s="61"/>
    </row>
    <row r="198" ht="15.75" customHeight="1">
      <c r="A198" s="56"/>
      <c r="B198" s="57"/>
      <c r="C198" s="58"/>
      <c r="D198" s="59"/>
      <c r="E198" s="60"/>
      <c r="G198" s="61"/>
    </row>
    <row r="199" ht="15.75" customHeight="1">
      <c r="A199" s="56"/>
      <c r="B199" s="57"/>
      <c r="C199" s="58"/>
      <c r="D199" s="59"/>
      <c r="E199" s="60"/>
      <c r="G199" s="61"/>
    </row>
    <row r="200" ht="15.75" customHeight="1">
      <c r="A200" s="56"/>
      <c r="B200" s="57"/>
      <c r="C200" s="58"/>
      <c r="D200" s="59"/>
      <c r="E200" s="60"/>
      <c r="G200" s="61"/>
    </row>
    <row r="201" ht="15.75" customHeight="1">
      <c r="A201" s="56"/>
      <c r="B201" s="57"/>
      <c r="C201" s="58"/>
      <c r="D201" s="59"/>
      <c r="E201" s="60"/>
      <c r="G201" s="61"/>
    </row>
    <row r="202" ht="15.75" customHeight="1">
      <c r="A202" s="56"/>
      <c r="B202" s="57"/>
      <c r="C202" s="58"/>
      <c r="D202" s="59"/>
      <c r="E202" s="60"/>
      <c r="G202" s="61"/>
    </row>
    <row r="203" ht="15.75" customHeight="1">
      <c r="A203" s="56"/>
      <c r="B203" s="57"/>
      <c r="C203" s="58"/>
      <c r="D203" s="59"/>
      <c r="E203" s="60"/>
      <c r="G203" s="61"/>
    </row>
    <row r="204" ht="15.75" customHeight="1">
      <c r="A204" s="56"/>
      <c r="B204" s="57"/>
      <c r="C204" s="58"/>
      <c r="D204" s="59"/>
      <c r="E204" s="60"/>
      <c r="G204" s="61"/>
    </row>
    <row r="205" ht="15.75" customHeight="1">
      <c r="A205" s="56"/>
      <c r="B205" s="57"/>
      <c r="C205" s="58"/>
      <c r="D205" s="59"/>
      <c r="E205" s="60"/>
      <c r="G205" s="61"/>
    </row>
    <row r="206" ht="15.75" customHeight="1">
      <c r="A206" s="56"/>
      <c r="B206" s="57"/>
      <c r="C206" s="58"/>
      <c r="D206" s="59"/>
      <c r="E206" s="60"/>
      <c r="G206" s="61"/>
    </row>
    <row r="207" ht="15.75" customHeight="1">
      <c r="A207" s="56"/>
      <c r="B207" s="57"/>
      <c r="C207" s="58"/>
      <c r="D207" s="59"/>
      <c r="E207" s="60"/>
      <c r="G207" s="61"/>
    </row>
    <row r="208" ht="15.75" customHeight="1">
      <c r="A208" s="56"/>
      <c r="B208" s="57"/>
      <c r="C208" s="58"/>
      <c r="D208" s="59"/>
      <c r="E208" s="60"/>
      <c r="G208" s="61"/>
    </row>
    <row r="209" ht="15.75" customHeight="1">
      <c r="A209" s="56"/>
      <c r="B209" s="57"/>
      <c r="C209" s="58"/>
      <c r="D209" s="59"/>
      <c r="E209" s="60"/>
      <c r="G209" s="61"/>
    </row>
    <row r="210" ht="15.75" customHeight="1">
      <c r="A210" s="56"/>
      <c r="B210" s="57"/>
      <c r="C210" s="58"/>
      <c r="D210" s="59"/>
      <c r="E210" s="60"/>
      <c r="G210" s="61"/>
    </row>
    <row r="211" ht="15.75" customHeight="1">
      <c r="A211" s="56"/>
      <c r="B211" s="57"/>
      <c r="C211" s="58"/>
      <c r="D211" s="59"/>
      <c r="E211" s="60"/>
      <c r="G211" s="61"/>
    </row>
    <row r="212" ht="15.75" customHeight="1">
      <c r="A212" s="56"/>
      <c r="B212" s="57"/>
      <c r="C212" s="58"/>
      <c r="D212" s="59"/>
      <c r="E212" s="60"/>
      <c r="G212" s="61"/>
    </row>
    <row r="213" ht="15.75" customHeight="1">
      <c r="A213" s="56"/>
      <c r="B213" s="57"/>
      <c r="C213" s="58"/>
      <c r="D213" s="59"/>
      <c r="E213" s="60"/>
      <c r="G213" s="61"/>
    </row>
    <row r="214" ht="15.75" customHeight="1">
      <c r="A214" s="56"/>
      <c r="B214" s="57"/>
      <c r="C214" s="58"/>
      <c r="D214" s="59"/>
      <c r="E214" s="60"/>
      <c r="G214" s="61"/>
    </row>
    <row r="215" ht="15.75" customHeight="1">
      <c r="A215" s="56"/>
      <c r="B215" s="57"/>
      <c r="C215" s="58"/>
      <c r="D215" s="59"/>
      <c r="E215" s="60"/>
      <c r="G215" s="61"/>
    </row>
    <row r="216" ht="15.75" customHeight="1">
      <c r="A216" s="56"/>
      <c r="B216" s="57"/>
      <c r="C216" s="58"/>
      <c r="D216" s="59"/>
      <c r="E216" s="60"/>
      <c r="G216" s="61"/>
    </row>
    <row r="217" ht="15.75" customHeight="1">
      <c r="A217" s="56"/>
      <c r="B217" s="57"/>
      <c r="C217" s="58"/>
      <c r="D217" s="59"/>
      <c r="E217" s="60"/>
      <c r="G217" s="61"/>
    </row>
    <row r="218" ht="15.75" customHeight="1">
      <c r="A218" s="56"/>
      <c r="B218" s="57"/>
      <c r="C218" s="58"/>
      <c r="D218" s="59"/>
      <c r="E218" s="60"/>
      <c r="G218" s="61"/>
    </row>
    <row r="219" ht="15.75" customHeight="1">
      <c r="A219" s="56"/>
      <c r="B219" s="57"/>
      <c r="C219" s="58"/>
      <c r="D219" s="59"/>
      <c r="E219" s="60"/>
      <c r="G219" s="61"/>
    </row>
    <row r="220" ht="15.75" customHeight="1">
      <c r="A220" s="56"/>
      <c r="B220" s="57"/>
      <c r="C220" s="58"/>
      <c r="D220" s="59"/>
      <c r="E220" s="60"/>
      <c r="G220" s="61"/>
    </row>
    <row r="221" ht="15.75" customHeight="1">
      <c r="A221" s="56"/>
      <c r="B221" s="57"/>
      <c r="C221" s="58"/>
      <c r="D221" s="59"/>
      <c r="E221" s="60"/>
      <c r="G221" s="61"/>
    </row>
    <row r="222" ht="15.75" customHeight="1">
      <c r="A222" s="56"/>
      <c r="B222" s="57"/>
      <c r="C222" s="58"/>
      <c r="D222" s="59"/>
      <c r="E222" s="60"/>
      <c r="G222" s="61"/>
    </row>
    <row r="223" ht="15.75" customHeight="1">
      <c r="A223" s="56"/>
      <c r="B223" s="57"/>
      <c r="C223" s="58"/>
      <c r="D223" s="59"/>
      <c r="E223" s="60"/>
      <c r="G223" s="61"/>
    </row>
    <row r="224" ht="15.75" customHeight="1">
      <c r="A224" s="56"/>
      <c r="B224" s="57"/>
      <c r="C224" s="58"/>
      <c r="D224" s="59"/>
      <c r="E224" s="60"/>
      <c r="G224" s="61"/>
    </row>
    <row r="225" ht="15.75" customHeight="1">
      <c r="A225" s="56"/>
      <c r="B225" s="57"/>
      <c r="C225" s="58"/>
      <c r="D225" s="59"/>
      <c r="E225" s="60"/>
      <c r="G225" s="61"/>
    </row>
    <row r="226" ht="15.75" customHeight="1">
      <c r="A226" s="56"/>
      <c r="B226" s="57"/>
      <c r="C226" s="58"/>
      <c r="D226" s="59"/>
      <c r="E226" s="60"/>
      <c r="G226" s="61"/>
    </row>
    <row r="227" ht="15.75" customHeight="1">
      <c r="A227" s="56"/>
      <c r="B227" s="57"/>
      <c r="C227" s="58"/>
      <c r="D227" s="59"/>
      <c r="E227" s="60"/>
      <c r="G227" s="61"/>
    </row>
    <row r="228" ht="15.75" customHeight="1">
      <c r="A228" s="56"/>
      <c r="B228" s="57"/>
      <c r="C228" s="58"/>
      <c r="D228" s="59"/>
      <c r="E228" s="60"/>
      <c r="G228" s="61"/>
    </row>
    <row r="229" ht="15.75" customHeight="1">
      <c r="A229" s="56"/>
      <c r="B229" s="57"/>
      <c r="C229" s="58"/>
      <c r="D229" s="59"/>
      <c r="E229" s="60"/>
      <c r="G229" s="61"/>
    </row>
    <row r="230" ht="15.75" customHeight="1">
      <c r="A230" s="56"/>
      <c r="B230" s="57"/>
      <c r="C230" s="58"/>
      <c r="D230" s="59"/>
      <c r="E230" s="60"/>
      <c r="G230" s="61"/>
    </row>
    <row r="231" ht="15.75" customHeight="1">
      <c r="A231" s="56"/>
      <c r="B231" s="57"/>
      <c r="C231" s="58"/>
      <c r="D231" s="59"/>
      <c r="E231" s="60"/>
      <c r="G231" s="61"/>
    </row>
    <row r="232" ht="15.75" customHeight="1">
      <c r="A232" s="56"/>
      <c r="B232" s="57"/>
      <c r="C232" s="58"/>
      <c r="D232" s="59"/>
      <c r="E232" s="60"/>
      <c r="G232" s="61"/>
    </row>
    <row r="233" ht="15.75" customHeight="1">
      <c r="A233" s="56"/>
      <c r="B233" s="57"/>
      <c r="C233" s="58"/>
      <c r="D233" s="59"/>
      <c r="E233" s="60"/>
      <c r="G233" s="61"/>
    </row>
    <row r="234" ht="15.75" customHeight="1">
      <c r="A234" s="56"/>
      <c r="B234" s="57"/>
      <c r="C234" s="58"/>
      <c r="D234" s="59"/>
      <c r="E234" s="60"/>
      <c r="G234" s="61"/>
    </row>
    <row r="235" ht="15.75" customHeight="1">
      <c r="A235" s="56"/>
      <c r="B235" s="57"/>
      <c r="C235" s="58"/>
      <c r="D235" s="59"/>
      <c r="E235" s="60"/>
      <c r="G235" s="61"/>
    </row>
    <row r="236" ht="15.75" customHeight="1">
      <c r="A236" s="56"/>
      <c r="B236" s="57"/>
      <c r="C236" s="58"/>
      <c r="D236" s="59"/>
      <c r="E236" s="60"/>
      <c r="G236" s="61"/>
    </row>
    <row r="237" ht="15.75" customHeight="1">
      <c r="A237" s="56"/>
      <c r="B237" s="57"/>
      <c r="C237" s="58"/>
      <c r="D237" s="59"/>
      <c r="E237" s="60"/>
      <c r="G237" s="61"/>
    </row>
    <row r="238" ht="15.75" customHeight="1">
      <c r="A238" s="56"/>
      <c r="B238" s="57"/>
      <c r="C238" s="58"/>
      <c r="D238" s="59"/>
      <c r="E238" s="60"/>
      <c r="G238" s="61"/>
    </row>
    <row r="239" ht="15.75" customHeight="1">
      <c r="A239" s="56"/>
      <c r="B239" s="57"/>
      <c r="C239" s="58"/>
      <c r="D239" s="59"/>
      <c r="E239" s="60"/>
      <c r="G239" s="61"/>
    </row>
    <row r="240" ht="15.75" customHeight="1">
      <c r="A240" s="56"/>
      <c r="B240" s="57"/>
      <c r="C240" s="58"/>
      <c r="D240" s="59"/>
      <c r="E240" s="60"/>
      <c r="G240" s="61"/>
    </row>
    <row r="241" ht="15.75" customHeight="1">
      <c r="A241" s="56"/>
      <c r="B241" s="57"/>
      <c r="C241" s="58"/>
      <c r="D241" s="59"/>
      <c r="E241" s="60"/>
      <c r="G241" s="61"/>
    </row>
    <row r="242" ht="15.75" customHeight="1">
      <c r="A242" s="56"/>
      <c r="B242" s="57"/>
      <c r="C242" s="58"/>
      <c r="D242" s="59"/>
      <c r="E242" s="60"/>
      <c r="G242" s="61"/>
    </row>
    <row r="243" ht="15.75" customHeight="1">
      <c r="A243" s="56"/>
      <c r="B243" s="57"/>
      <c r="C243" s="58"/>
      <c r="D243" s="59"/>
      <c r="E243" s="60"/>
      <c r="G243" s="61"/>
    </row>
    <row r="244" ht="15.75" customHeight="1">
      <c r="A244" s="56"/>
      <c r="B244" s="57"/>
      <c r="C244" s="58"/>
      <c r="D244" s="59"/>
      <c r="E244" s="60"/>
      <c r="G244" s="61"/>
    </row>
    <row r="245" ht="15.75" customHeight="1">
      <c r="A245" s="56"/>
      <c r="B245" s="57"/>
      <c r="C245" s="58"/>
      <c r="D245" s="59"/>
      <c r="E245" s="60"/>
      <c r="G245" s="61"/>
    </row>
    <row r="246" ht="15.75" customHeight="1">
      <c r="A246" s="56"/>
      <c r="B246" s="57"/>
      <c r="C246" s="58"/>
      <c r="D246" s="59"/>
      <c r="E246" s="60"/>
      <c r="G246" s="61"/>
    </row>
    <row r="247" ht="15.75" customHeight="1">
      <c r="A247" s="56"/>
      <c r="B247" s="57"/>
      <c r="C247" s="58"/>
      <c r="D247" s="59"/>
      <c r="E247" s="60"/>
      <c r="G247" s="61"/>
    </row>
    <row r="248" ht="15.75" customHeight="1">
      <c r="A248" s="56"/>
      <c r="B248" s="57"/>
      <c r="C248" s="58"/>
      <c r="D248" s="59"/>
      <c r="E248" s="60"/>
      <c r="G248" s="61"/>
    </row>
    <row r="249" ht="15.75" customHeight="1">
      <c r="A249" s="56"/>
      <c r="B249" s="57"/>
      <c r="C249" s="58"/>
      <c r="D249" s="59"/>
      <c r="E249" s="60"/>
      <c r="G249" s="61"/>
    </row>
    <row r="250" ht="15.75" customHeight="1">
      <c r="A250" s="56"/>
      <c r="B250" s="57"/>
      <c r="C250" s="58"/>
      <c r="D250" s="59"/>
      <c r="E250" s="60"/>
      <c r="G250" s="61"/>
    </row>
    <row r="251" ht="15.75" customHeight="1">
      <c r="A251" s="56"/>
      <c r="B251" s="57"/>
      <c r="C251" s="58"/>
      <c r="D251" s="59"/>
      <c r="E251" s="60"/>
      <c r="G251" s="61"/>
    </row>
    <row r="252" ht="15.75" customHeight="1">
      <c r="A252" s="56"/>
      <c r="B252" s="57"/>
      <c r="C252" s="58"/>
      <c r="D252" s="59"/>
      <c r="E252" s="60"/>
      <c r="G252" s="61"/>
    </row>
    <row r="253" ht="15.75" customHeight="1">
      <c r="A253" s="56"/>
      <c r="B253" s="57"/>
      <c r="C253" s="58"/>
      <c r="D253" s="59"/>
      <c r="E253" s="60"/>
      <c r="G253" s="61"/>
    </row>
    <row r="254" ht="15.75" customHeight="1">
      <c r="A254" s="56"/>
      <c r="B254" s="57"/>
      <c r="C254" s="58"/>
      <c r="D254" s="59"/>
      <c r="E254" s="60"/>
      <c r="G254" s="61"/>
    </row>
    <row r="255" ht="15.75" customHeight="1">
      <c r="A255" s="56"/>
      <c r="B255" s="57"/>
      <c r="C255" s="58"/>
      <c r="D255" s="59"/>
      <c r="E255" s="60"/>
      <c r="G255" s="61"/>
    </row>
    <row r="256" ht="15.75" customHeight="1">
      <c r="A256" s="56"/>
      <c r="B256" s="57"/>
      <c r="C256" s="58"/>
      <c r="D256" s="59"/>
      <c r="E256" s="60"/>
      <c r="G256" s="61"/>
    </row>
    <row r="257" ht="15.75" customHeight="1">
      <c r="A257" s="56"/>
      <c r="B257" s="57"/>
      <c r="C257" s="58"/>
      <c r="D257" s="59"/>
      <c r="E257" s="60"/>
      <c r="G257" s="61"/>
    </row>
    <row r="258" ht="15.75" customHeight="1">
      <c r="A258" s="56"/>
      <c r="B258" s="57"/>
      <c r="C258" s="58"/>
      <c r="D258" s="59"/>
      <c r="E258" s="60"/>
      <c r="G258" s="61"/>
    </row>
    <row r="259" ht="15.75" customHeight="1">
      <c r="A259" s="56"/>
      <c r="B259" s="57"/>
      <c r="C259" s="58"/>
      <c r="D259" s="59"/>
      <c r="E259" s="60"/>
      <c r="G259" s="61"/>
    </row>
    <row r="260" ht="15.75" customHeight="1">
      <c r="A260" s="56"/>
      <c r="B260" s="57"/>
      <c r="C260" s="58"/>
      <c r="D260" s="59"/>
      <c r="E260" s="60"/>
      <c r="G260" s="61"/>
    </row>
    <row r="261" ht="15.75" customHeight="1">
      <c r="A261" s="56"/>
      <c r="B261" s="57"/>
      <c r="C261" s="58"/>
      <c r="D261" s="59"/>
      <c r="E261" s="60"/>
      <c r="G261" s="61"/>
    </row>
    <row r="262" ht="15.75" customHeight="1">
      <c r="A262" s="56"/>
      <c r="B262" s="57"/>
      <c r="C262" s="58"/>
      <c r="D262" s="59"/>
      <c r="E262" s="60"/>
      <c r="G262" s="61"/>
    </row>
    <row r="263" ht="15.75" customHeight="1">
      <c r="A263" s="56"/>
      <c r="B263" s="57"/>
      <c r="C263" s="58"/>
      <c r="D263" s="59"/>
      <c r="E263" s="60"/>
      <c r="G263" s="61"/>
    </row>
    <row r="264" ht="15.75" customHeight="1">
      <c r="A264" s="56"/>
      <c r="B264" s="57"/>
      <c r="C264" s="58"/>
      <c r="D264" s="59"/>
      <c r="E264" s="60"/>
      <c r="G264" s="61"/>
    </row>
    <row r="265" ht="15.75" customHeight="1">
      <c r="A265" s="56"/>
      <c r="B265" s="57"/>
      <c r="C265" s="58"/>
      <c r="D265" s="59"/>
      <c r="E265" s="60"/>
      <c r="G265" s="61"/>
    </row>
    <row r="266" ht="15.75" customHeight="1">
      <c r="A266" s="56"/>
      <c r="B266" s="57"/>
      <c r="C266" s="58"/>
      <c r="D266" s="59"/>
      <c r="E266" s="60"/>
      <c r="G266" s="61"/>
    </row>
    <row r="267" ht="15.75" customHeight="1">
      <c r="A267" s="56"/>
      <c r="B267" s="57"/>
      <c r="C267" s="58"/>
      <c r="D267" s="59"/>
      <c r="E267" s="60"/>
      <c r="G267" s="61"/>
    </row>
    <row r="268" ht="15.75" customHeight="1">
      <c r="A268" s="56"/>
      <c r="B268" s="57"/>
      <c r="C268" s="58"/>
      <c r="D268" s="59"/>
      <c r="E268" s="60"/>
      <c r="G268" s="61"/>
    </row>
    <row r="269" ht="15.75" customHeight="1">
      <c r="A269" s="56"/>
      <c r="B269" s="57"/>
      <c r="C269" s="58"/>
      <c r="D269" s="59"/>
      <c r="E269" s="60"/>
      <c r="G269" s="61"/>
    </row>
    <row r="270" ht="15.75" customHeight="1">
      <c r="A270" s="56"/>
      <c r="B270" s="57"/>
      <c r="C270" s="58"/>
      <c r="D270" s="59"/>
      <c r="E270" s="60"/>
      <c r="G270" s="61"/>
    </row>
    <row r="271" ht="15.75" customHeight="1">
      <c r="A271" s="56"/>
      <c r="B271" s="57"/>
      <c r="C271" s="58"/>
      <c r="D271" s="59"/>
      <c r="E271" s="60"/>
      <c r="G271" s="61"/>
    </row>
    <row r="272" ht="15.75" customHeight="1">
      <c r="A272" s="56"/>
      <c r="B272" s="57"/>
      <c r="C272" s="58"/>
      <c r="D272" s="59"/>
      <c r="E272" s="60"/>
      <c r="G272" s="61"/>
    </row>
    <row r="273" ht="15.75" customHeight="1">
      <c r="A273" s="56"/>
      <c r="B273" s="57"/>
      <c r="C273" s="58"/>
      <c r="D273" s="59"/>
      <c r="E273" s="60"/>
      <c r="G273" s="61"/>
    </row>
    <row r="274" ht="15.75" customHeight="1">
      <c r="A274" s="56"/>
      <c r="B274" s="57"/>
      <c r="C274" s="58"/>
      <c r="D274" s="59"/>
      <c r="E274" s="60"/>
      <c r="G274" s="61"/>
    </row>
    <row r="275" ht="15.75" customHeight="1">
      <c r="A275" s="56"/>
      <c r="B275" s="57"/>
      <c r="C275" s="58"/>
      <c r="D275" s="59"/>
      <c r="E275" s="60"/>
      <c r="G275" s="61"/>
    </row>
    <row r="276" ht="15.75" customHeight="1">
      <c r="A276" s="56"/>
      <c r="B276" s="57"/>
      <c r="C276" s="58"/>
      <c r="D276" s="59"/>
      <c r="E276" s="60"/>
      <c r="G276" s="61"/>
    </row>
    <row r="277" ht="15.75" customHeight="1">
      <c r="A277" s="56"/>
      <c r="B277" s="57"/>
      <c r="C277" s="58"/>
      <c r="D277" s="59"/>
      <c r="E277" s="60"/>
      <c r="G277" s="61"/>
    </row>
    <row r="278" ht="15.75" customHeight="1">
      <c r="A278" s="56"/>
      <c r="B278" s="57"/>
      <c r="C278" s="58"/>
      <c r="D278" s="59"/>
      <c r="E278" s="60"/>
      <c r="G278" s="61"/>
    </row>
    <row r="279" ht="15.75" customHeight="1">
      <c r="A279" s="56"/>
      <c r="B279" s="57"/>
      <c r="C279" s="58"/>
      <c r="D279" s="59"/>
      <c r="E279" s="60"/>
      <c r="G279" s="6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A2"/>
    <mergeCell ref="B1:C1"/>
    <mergeCell ref="E1:F1"/>
    <mergeCell ref="A3:A13"/>
    <mergeCell ref="A14:K14"/>
    <mergeCell ref="A15:A27"/>
    <mergeCell ref="A28:K28"/>
    <mergeCell ref="A50:A64"/>
    <mergeCell ref="A66:A79"/>
    <mergeCell ref="A29:A34"/>
    <mergeCell ref="A35:K35"/>
    <mergeCell ref="A36:A42"/>
    <mergeCell ref="A43:K43"/>
    <mergeCell ref="A44:A48"/>
    <mergeCell ref="A49:K49"/>
    <mergeCell ref="A65:K65"/>
  </mergeCells>
  <dataValidations>
    <dataValidation type="list" allowBlank="1" showErrorMessage="1" sqref="H3:H13 H15:H27 H29:H34 H36:H42 H44:H48 H50:H64 H66:H79">
      <formula1>"ENTREGUE,LIVRE,RESERVADO,AGUARDANDO"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1.75"/>
    <col customWidth="1" min="2" max="2" width="17.88"/>
    <col customWidth="1" min="3" max="3" width="21.0"/>
    <col customWidth="1" min="4" max="4" width="21.75"/>
    <col customWidth="1" min="5" max="5" width="21.38"/>
    <col customWidth="1" min="6" max="6" width="20.88"/>
    <col customWidth="1" min="7" max="7" width="19.63"/>
    <col customWidth="1" min="8" max="8" width="23.88"/>
    <col customWidth="1" min="9" max="9" width="17.88"/>
    <col customWidth="1" min="10" max="10" width="21.38"/>
  </cols>
  <sheetData>
    <row r="1" ht="15.75" customHeight="1">
      <c r="A1" s="62" t="s">
        <v>307</v>
      </c>
      <c r="B1" s="63" t="s">
        <v>3</v>
      </c>
      <c r="C1" s="64" t="s">
        <v>248</v>
      </c>
      <c r="D1" s="64" t="s">
        <v>190</v>
      </c>
      <c r="E1" s="64" t="s">
        <v>12</v>
      </c>
      <c r="F1" s="64" t="s">
        <v>171</v>
      </c>
      <c r="G1" s="64" t="s">
        <v>308</v>
      </c>
      <c r="H1" s="64" t="s">
        <v>66</v>
      </c>
      <c r="I1" s="65" t="s">
        <v>309</v>
      </c>
      <c r="J1" s="26"/>
    </row>
    <row r="2" ht="30.0" customHeight="1">
      <c r="A2" s="66"/>
      <c r="B2" s="20"/>
      <c r="C2" s="5">
        <f>COUNTIFS($A:$A,"ARMA")</f>
        <v>13</v>
      </c>
      <c r="D2" s="5">
        <f>COUNTIFS($A:$A,"MUNIÇÃO")</f>
        <v>8</v>
      </c>
      <c r="E2" s="5">
        <f>COUNTIFS($A:$A,"LAVAGEM")</f>
        <v>4</v>
      </c>
      <c r="F2" s="5">
        <f>COUNTIFS($A:$A,"BASEADO")</f>
        <v>5</v>
      </c>
      <c r="G2" s="5">
        <f>COUNTIFS($A:$A,"COCAINA")</f>
        <v>7</v>
      </c>
      <c r="H2" s="5">
        <f>COUNTIFS($A:$A,"DESMANCHE")</f>
        <v>6</v>
      </c>
      <c r="I2" s="67" t="s">
        <v>22</v>
      </c>
      <c r="J2" s="26"/>
    </row>
    <row r="3" ht="13.5" customHeight="1">
      <c r="A3" s="66"/>
      <c r="B3" s="20"/>
      <c r="C3" s="68"/>
      <c r="D3" s="25"/>
      <c r="E3" s="25"/>
      <c r="F3" s="25"/>
      <c r="G3" s="25"/>
      <c r="H3" s="25"/>
      <c r="I3" s="69">
        <f>COUNTIFS($A:$A,$I$2,$G:$G,"livre")</f>
        <v>5</v>
      </c>
      <c r="J3" s="70"/>
    </row>
    <row r="4" ht="29.25" customHeight="1">
      <c r="A4" s="66"/>
      <c r="B4" s="20"/>
      <c r="C4" s="71" t="s">
        <v>1</v>
      </c>
      <c r="D4" s="26"/>
      <c r="E4" s="3">
        <f>COUNTIFS(G:G,"ENTREGUE")</f>
        <v>9</v>
      </c>
      <c r="F4" s="72" t="s">
        <v>2</v>
      </c>
      <c r="G4" s="26"/>
      <c r="H4" s="5">
        <f>COUNTIFS(G:G,"LIVRE")</f>
        <v>29</v>
      </c>
      <c r="I4" s="73"/>
      <c r="J4" s="74"/>
    </row>
    <row r="5" ht="15.75" customHeight="1">
      <c r="A5" s="75"/>
      <c r="B5" s="76"/>
      <c r="C5" s="9" t="s">
        <v>310</v>
      </c>
      <c r="D5" s="10" t="s">
        <v>5</v>
      </c>
      <c r="E5" s="11" t="s">
        <v>7</v>
      </c>
      <c r="F5" s="10" t="s">
        <v>311</v>
      </c>
      <c r="G5" s="11" t="s">
        <v>8</v>
      </c>
      <c r="H5" s="11" t="s">
        <v>312</v>
      </c>
      <c r="I5" s="11" t="s">
        <v>10</v>
      </c>
      <c r="J5" s="11" t="s">
        <v>11</v>
      </c>
    </row>
    <row r="6" ht="18.0" customHeight="1">
      <c r="A6" s="46" t="s">
        <v>248</v>
      </c>
      <c r="B6" s="77" t="s">
        <v>313</v>
      </c>
      <c r="C6" s="78" t="s">
        <v>314</v>
      </c>
      <c r="D6" s="79" t="s">
        <v>315</v>
      </c>
      <c r="E6" s="80">
        <v>1115.0</v>
      </c>
      <c r="F6" s="22" t="s">
        <v>316</v>
      </c>
      <c r="G6" s="18" t="s">
        <v>21</v>
      </c>
      <c r="H6" s="81" t="s">
        <v>317</v>
      </c>
      <c r="I6" s="18"/>
      <c r="J6" s="18" t="b">
        <v>1</v>
      </c>
    </row>
    <row r="7" ht="15.75" customHeight="1">
      <c r="A7" s="46" t="s">
        <v>190</v>
      </c>
      <c r="B7" s="77" t="s">
        <v>318</v>
      </c>
      <c r="C7" s="78" t="s">
        <v>319</v>
      </c>
      <c r="D7" s="82"/>
      <c r="E7" s="17"/>
      <c r="F7" s="83" t="s">
        <v>320</v>
      </c>
      <c r="G7" s="18" t="s">
        <v>15</v>
      </c>
      <c r="H7" s="18"/>
      <c r="I7" s="18"/>
      <c r="J7" s="18" t="b">
        <v>0</v>
      </c>
    </row>
    <row r="8" ht="15.75" customHeight="1">
      <c r="A8" s="46" t="s">
        <v>12</v>
      </c>
      <c r="B8" s="77" t="s">
        <v>321</v>
      </c>
      <c r="C8" s="78" t="s">
        <v>322</v>
      </c>
      <c r="D8" s="82"/>
      <c r="E8" s="17"/>
      <c r="F8" s="83" t="s">
        <v>323</v>
      </c>
      <c r="G8" s="18" t="s">
        <v>15</v>
      </c>
      <c r="H8" s="84"/>
      <c r="I8" s="18"/>
      <c r="J8" s="18" t="b">
        <v>0</v>
      </c>
    </row>
    <row r="9" ht="15.75" customHeight="1">
      <c r="A9" s="46" t="s">
        <v>248</v>
      </c>
      <c r="B9" s="77" t="s">
        <v>147</v>
      </c>
      <c r="C9" s="78" t="s">
        <v>324</v>
      </c>
      <c r="D9" s="85" t="s">
        <v>255</v>
      </c>
      <c r="E9" s="22">
        <v>1607.0</v>
      </c>
      <c r="F9" s="83" t="s">
        <v>325</v>
      </c>
      <c r="G9" s="18" t="s">
        <v>21</v>
      </c>
      <c r="H9" s="18"/>
      <c r="I9" s="18"/>
      <c r="J9" s="18" t="b">
        <v>0</v>
      </c>
    </row>
    <row r="10" ht="15.75" customHeight="1">
      <c r="A10" s="46" t="s">
        <v>171</v>
      </c>
      <c r="B10" s="77" t="s">
        <v>326</v>
      </c>
      <c r="C10" s="78" t="s">
        <v>327</v>
      </c>
      <c r="D10" s="85"/>
      <c r="E10" s="22"/>
      <c r="F10" s="83" t="s">
        <v>328</v>
      </c>
      <c r="G10" s="18" t="s">
        <v>15</v>
      </c>
      <c r="H10" s="18"/>
      <c r="I10" s="18"/>
      <c r="J10" s="18" t="b">
        <v>0</v>
      </c>
    </row>
    <row r="11" ht="15.75" customHeight="1">
      <c r="A11" s="46" t="s">
        <v>308</v>
      </c>
      <c r="B11" s="77" t="s">
        <v>81</v>
      </c>
      <c r="C11" s="78" t="s">
        <v>329</v>
      </c>
      <c r="D11" s="79"/>
      <c r="E11" s="22"/>
      <c r="F11" s="83" t="s">
        <v>330</v>
      </c>
      <c r="G11" s="18" t="s">
        <v>15</v>
      </c>
      <c r="H11" s="18"/>
      <c r="I11" s="18"/>
      <c r="J11" s="18" t="b">
        <v>0</v>
      </c>
    </row>
    <row r="12" ht="15.75" customHeight="1">
      <c r="A12" s="46" t="s">
        <v>248</v>
      </c>
      <c r="B12" s="86" t="s">
        <v>209</v>
      </c>
      <c r="C12" s="78" t="s">
        <v>331</v>
      </c>
      <c r="D12" s="87"/>
      <c r="E12" s="22"/>
      <c r="F12" s="83" t="s">
        <v>332</v>
      </c>
      <c r="G12" s="18" t="s">
        <v>15</v>
      </c>
      <c r="H12" s="18"/>
      <c r="I12" s="18"/>
      <c r="J12" s="18" t="b">
        <v>0</v>
      </c>
    </row>
    <row r="13" ht="15.75" customHeight="1">
      <c r="A13" s="46" t="s">
        <v>190</v>
      </c>
      <c r="B13" s="77" t="s">
        <v>286</v>
      </c>
      <c r="C13" s="78" t="s">
        <v>333</v>
      </c>
      <c r="D13" s="87"/>
      <c r="E13" s="22"/>
      <c r="F13" s="83" t="s">
        <v>334</v>
      </c>
      <c r="G13" s="18" t="s">
        <v>15</v>
      </c>
      <c r="H13" s="18"/>
      <c r="I13" s="18"/>
      <c r="J13" s="18" t="b">
        <v>0</v>
      </c>
    </row>
    <row r="14" ht="15.75" customHeight="1">
      <c r="A14" s="46" t="s">
        <v>171</v>
      </c>
      <c r="B14" s="77" t="s">
        <v>269</v>
      </c>
      <c r="C14" s="78" t="s">
        <v>335</v>
      </c>
      <c r="D14" s="87"/>
      <c r="E14" s="22"/>
      <c r="F14" s="83" t="s">
        <v>336</v>
      </c>
      <c r="G14" s="18" t="s">
        <v>15</v>
      </c>
      <c r="H14" s="18"/>
      <c r="I14" s="18"/>
      <c r="J14" s="18" t="b">
        <v>0</v>
      </c>
    </row>
    <row r="15" ht="15.75" customHeight="1">
      <c r="A15" s="46" t="s">
        <v>248</v>
      </c>
      <c r="B15" s="77" t="s">
        <v>337</v>
      </c>
      <c r="C15" s="78" t="s">
        <v>338</v>
      </c>
      <c r="D15" s="87"/>
      <c r="E15" s="22"/>
      <c r="F15" s="83" t="s">
        <v>339</v>
      </c>
      <c r="G15" s="18" t="s">
        <v>15</v>
      </c>
      <c r="H15" s="18"/>
      <c r="I15" s="18"/>
      <c r="J15" s="18" t="b">
        <v>0</v>
      </c>
    </row>
    <row r="16" ht="15.75" customHeight="1">
      <c r="A16" s="46" t="s">
        <v>190</v>
      </c>
      <c r="B16" s="77" t="s">
        <v>282</v>
      </c>
      <c r="C16" s="78" t="s">
        <v>340</v>
      </c>
      <c r="D16" s="82" t="s">
        <v>341</v>
      </c>
      <c r="E16" s="17">
        <v>9065.0</v>
      </c>
      <c r="F16" s="83" t="s">
        <v>342</v>
      </c>
      <c r="G16" s="18" t="s">
        <v>21</v>
      </c>
      <c r="I16" s="18" t="s">
        <v>343</v>
      </c>
      <c r="J16" s="18" t="b">
        <v>1</v>
      </c>
    </row>
    <row r="17" ht="15.75" customHeight="1">
      <c r="A17" s="46" t="s">
        <v>248</v>
      </c>
      <c r="B17" s="88" t="s">
        <v>344</v>
      </c>
      <c r="C17" s="78" t="s">
        <v>345</v>
      </c>
      <c r="D17" s="82"/>
      <c r="E17" s="17"/>
      <c r="F17" s="83" t="s">
        <v>346</v>
      </c>
      <c r="G17" s="18" t="s">
        <v>15</v>
      </c>
      <c r="H17" s="18"/>
      <c r="I17" s="18"/>
      <c r="J17" s="18" t="b">
        <v>0</v>
      </c>
    </row>
    <row r="18" ht="15.75" customHeight="1">
      <c r="A18" s="46" t="s">
        <v>171</v>
      </c>
      <c r="B18" s="77" t="s">
        <v>257</v>
      </c>
      <c r="C18" s="78" t="s">
        <v>347</v>
      </c>
      <c r="D18" s="82"/>
      <c r="E18" s="17"/>
      <c r="F18" s="83" t="s">
        <v>348</v>
      </c>
      <c r="G18" s="18" t="s">
        <v>15</v>
      </c>
      <c r="H18" s="18"/>
      <c r="I18" s="18"/>
      <c r="J18" s="18" t="b">
        <v>0</v>
      </c>
    </row>
    <row r="19" ht="15.75" customHeight="1">
      <c r="A19" s="46" t="s">
        <v>248</v>
      </c>
      <c r="B19" s="77" t="s">
        <v>278</v>
      </c>
      <c r="C19" s="78" t="s">
        <v>349</v>
      </c>
      <c r="D19" s="79"/>
      <c r="E19" s="22"/>
      <c r="F19" s="83" t="s">
        <v>350</v>
      </c>
      <c r="G19" s="18" t="s">
        <v>47</v>
      </c>
      <c r="I19" s="18" t="s">
        <v>351</v>
      </c>
      <c r="J19" s="18" t="b">
        <v>0</v>
      </c>
    </row>
    <row r="20" ht="15.75" customHeight="1">
      <c r="A20" s="46" t="s">
        <v>248</v>
      </c>
      <c r="B20" s="77" t="s">
        <v>352</v>
      </c>
      <c r="C20" s="78" t="s">
        <v>353</v>
      </c>
      <c r="D20" s="87" t="s">
        <v>354</v>
      </c>
      <c r="E20" s="22">
        <v>6203.0</v>
      </c>
      <c r="F20" s="83" t="s">
        <v>355</v>
      </c>
      <c r="G20" s="18" t="s">
        <v>21</v>
      </c>
      <c r="H20" s="18"/>
      <c r="J20" s="18" t="b">
        <v>1</v>
      </c>
    </row>
    <row r="21" ht="15.75" customHeight="1">
      <c r="A21" s="46" t="s">
        <v>248</v>
      </c>
      <c r="B21" s="77" t="s">
        <v>356</v>
      </c>
      <c r="C21" s="78" t="s">
        <v>357</v>
      </c>
      <c r="D21" s="87" t="s">
        <v>358</v>
      </c>
      <c r="E21" s="80">
        <v>102.0</v>
      </c>
      <c r="F21" s="83" t="s">
        <v>359</v>
      </c>
      <c r="G21" s="18" t="s">
        <v>21</v>
      </c>
      <c r="H21" s="18"/>
      <c r="I21" s="18"/>
      <c r="J21" s="18" t="b">
        <v>1</v>
      </c>
    </row>
    <row r="22" ht="15.75" customHeight="1">
      <c r="A22" s="46" t="s">
        <v>308</v>
      </c>
      <c r="B22" s="77" t="s">
        <v>360</v>
      </c>
      <c r="C22" s="78" t="s">
        <v>361</v>
      </c>
      <c r="D22" s="79"/>
      <c r="E22" s="22"/>
      <c r="F22" s="83" t="s">
        <v>362</v>
      </c>
      <c r="G22" s="18" t="s">
        <v>363</v>
      </c>
      <c r="H22" s="18"/>
      <c r="I22" s="18"/>
      <c r="J22" s="18" t="b">
        <v>0</v>
      </c>
    </row>
    <row r="23" ht="15.75" customHeight="1">
      <c r="A23" s="46" t="s">
        <v>12</v>
      </c>
      <c r="B23" s="77" t="s">
        <v>364</v>
      </c>
      <c r="C23" s="78" t="s">
        <v>365</v>
      </c>
      <c r="D23" s="79" t="s">
        <v>366</v>
      </c>
      <c r="E23" s="22">
        <v>8414.0</v>
      </c>
      <c r="F23" s="83" t="s">
        <v>367</v>
      </c>
      <c r="G23" s="18" t="s">
        <v>21</v>
      </c>
      <c r="H23" s="18"/>
      <c r="I23" s="18"/>
      <c r="J23" s="18" t="b">
        <v>1</v>
      </c>
    </row>
    <row r="24" ht="15.75" customHeight="1">
      <c r="A24" s="46" t="s">
        <v>248</v>
      </c>
      <c r="B24" s="77" t="s">
        <v>368</v>
      </c>
      <c r="C24" s="78" t="s">
        <v>369</v>
      </c>
      <c r="D24" s="87" t="s">
        <v>370</v>
      </c>
      <c r="E24" s="22">
        <v>7951.0</v>
      </c>
      <c r="F24" s="83" t="s">
        <v>371</v>
      </c>
      <c r="G24" s="18" t="s">
        <v>21</v>
      </c>
      <c r="H24" s="18"/>
      <c r="I24" s="18"/>
      <c r="J24" s="18" t="b">
        <v>1</v>
      </c>
    </row>
    <row r="25" ht="15.75" customHeight="1">
      <c r="A25" s="46" t="s">
        <v>190</v>
      </c>
      <c r="B25" s="77" t="s">
        <v>372</v>
      </c>
      <c r="C25" s="78" t="s">
        <v>373</v>
      </c>
      <c r="D25" s="87"/>
      <c r="E25" s="22"/>
      <c r="F25" s="83" t="s">
        <v>374</v>
      </c>
      <c r="G25" s="18" t="s">
        <v>15</v>
      </c>
      <c r="H25" s="18"/>
      <c r="I25" s="18"/>
      <c r="J25" s="18" t="b">
        <v>0</v>
      </c>
    </row>
    <row r="26" ht="15.75" customHeight="1">
      <c r="A26" s="46" t="s">
        <v>12</v>
      </c>
      <c r="B26" s="77" t="s">
        <v>375</v>
      </c>
      <c r="C26" s="78" t="s">
        <v>376</v>
      </c>
      <c r="D26" s="79"/>
      <c r="E26" s="22"/>
      <c r="F26" s="83" t="s">
        <v>377</v>
      </c>
      <c r="G26" s="18" t="s">
        <v>15</v>
      </c>
      <c r="H26" s="18"/>
      <c r="I26" s="18"/>
      <c r="J26" s="18" t="b">
        <v>0</v>
      </c>
    </row>
    <row r="27" ht="15.75" customHeight="1">
      <c r="A27" s="46" t="s">
        <v>308</v>
      </c>
      <c r="B27" s="77" t="s">
        <v>378</v>
      </c>
      <c r="C27" s="78" t="s">
        <v>379</v>
      </c>
      <c r="D27" s="79"/>
      <c r="E27" s="22"/>
      <c r="F27" s="83" t="s">
        <v>380</v>
      </c>
      <c r="G27" s="18" t="s">
        <v>363</v>
      </c>
      <c r="H27" s="18"/>
      <c r="I27" s="18"/>
      <c r="J27" s="18" t="b">
        <v>0</v>
      </c>
    </row>
    <row r="28" ht="15.75" customHeight="1">
      <c r="A28" s="46" t="s">
        <v>248</v>
      </c>
      <c r="B28" s="77" t="s">
        <v>381</v>
      </c>
      <c r="C28" s="78" t="s">
        <v>382</v>
      </c>
      <c r="D28" s="82"/>
      <c r="E28" s="17"/>
      <c r="F28" s="83" t="s">
        <v>383</v>
      </c>
      <c r="G28" s="18" t="s">
        <v>363</v>
      </c>
      <c r="H28" s="18"/>
      <c r="I28" s="18"/>
      <c r="J28" s="18" t="b">
        <v>0</v>
      </c>
    </row>
    <row r="29" ht="15.75" customHeight="1">
      <c r="A29" s="46" t="s">
        <v>66</v>
      </c>
      <c r="B29" s="77" t="s">
        <v>167</v>
      </c>
      <c r="C29" s="78" t="s">
        <v>384</v>
      </c>
      <c r="D29" s="79" t="s">
        <v>385</v>
      </c>
      <c r="E29" s="22">
        <v>9632.0</v>
      </c>
      <c r="F29" s="83" t="s">
        <v>386</v>
      </c>
      <c r="G29" s="18" t="s">
        <v>21</v>
      </c>
      <c r="H29" s="18"/>
      <c r="I29" s="18"/>
      <c r="J29" s="18" t="b">
        <v>1</v>
      </c>
    </row>
    <row r="30" ht="15.75" customHeight="1">
      <c r="A30" s="46" t="s">
        <v>190</v>
      </c>
      <c r="B30" s="77" t="s">
        <v>387</v>
      </c>
      <c r="C30" s="78" t="s">
        <v>388</v>
      </c>
      <c r="D30" s="79"/>
      <c r="E30" s="22"/>
      <c r="F30" s="83" t="s">
        <v>389</v>
      </c>
      <c r="G30" s="18" t="s">
        <v>15</v>
      </c>
      <c r="H30" s="18"/>
      <c r="I30" s="18"/>
      <c r="J30" s="18" t="b">
        <v>0</v>
      </c>
    </row>
    <row r="31" ht="15.75" customHeight="1">
      <c r="A31" s="46" t="s">
        <v>308</v>
      </c>
      <c r="B31" s="88" t="s">
        <v>129</v>
      </c>
      <c r="C31" s="78" t="s">
        <v>390</v>
      </c>
      <c r="D31" s="79"/>
      <c r="E31" s="22"/>
      <c r="F31" s="83" t="s">
        <v>391</v>
      </c>
      <c r="G31" s="18" t="s">
        <v>15</v>
      </c>
      <c r="H31" s="18"/>
      <c r="I31" s="18"/>
      <c r="J31" s="18" t="b">
        <v>0</v>
      </c>
    </row>
    <row r="32" ht="15.75" customHeight="1">
      <c r="A32" s="46" t="s">
        <v>190</v>
      </c>
      <c r="B32" s="77" t="s">
        <v>195</v>
      </c>
      <c r="C32" s="78" t="s">
        <v>392</v>
      </c>
      <c r="D32" s="79"/>
      <c r="E32" s="22"/>
      <c r="F32" s="83" t="s">
        <v>393</v>
      </c>
      <c r="G32" s="18" t="s">
        <v>15</v>
      </c>
      <c r="H32" s="18"/>
      <c r="I32" s="18"/>
      <c r="J32" s="18" t="b">
        <v>0</v>
      </c>
    </row>
    <row r="33" ht="15.75" customHeight="1">
      <c r="A33" s="46" t="s">
        <v>190</v>
      </c>
      <c r="B33" s="77" t="s">
        <v>394</v>
      </c>
      <c r="C33" s="78" t="s">
        <v>395</v>
      </c>
      <c r="D33" s="79"/>
      <c r="E33" s="22"/>
      <c r="F33" s="83" t="s">
        <v>396</v>
      </c>
      <c r="G33" s="18" t="s">
        <v>15</v>
      </c>
      <c r="H33" s="18"/>
      <c r="I33" s="18"/>
      <c r="J33" s="18" t="b">
        <v>0</v>
      </c>
    </row>
    <row r="34" ht="15.75" customHeight="1">
      <c r="A34" s="46" t="s">
        <v>66</v>
      </c>
      <c r="B34" s="77" t="s">
        <v>397</v>
      </c>
      <c r="C34" s="78" t="s">
        <v>398</v>
      </c>
      <c r="D34" s="79"/>
      <c r="E34" s="22"/>
      <c r="F34" s="83" t="s">
        <v>399</v>
      </c>
      <c r="G34" s="18" t="s">
        <v>15</v>
      </c>
      <c r="H34" s="18"/>
      <c r="I34" s="18"/>
      <c r="J34" s="18" t="b">
        <v>0</v>
      </c>
    </row>
    <row r="35" ht="15.75" customHeight="1">
      <c r="A35" s="46" t="s">
        <v>190</v>
      </c>
      <c r="B35" s="77" t="s">
        <v>400</v>
      </c>
      <c r="C35" s="78" t="s">
        <v>401</v>
      </c>
      <c r="D35" s="87" t="s">
        <v>402</v>
      </c>
      <c r="E35" s="22"/>
      <c r="F35" s="83" t="s">
        <v>403</v>
      </c>
      <c r="G35" s="18" t="s">
        <v>21</v>
      </c>
      <c r="H35" s="18"/>
      <c r="I35" s="18"/>
      <c r="J35" s="18" t="b">
        <v>1</v>
      </c>
    </row>
    <row r="36" ht="15.75" customHeight="1">
      <c r="A36" s="46" t="s">
        <v>66</v>
      </c>
      <c r="B36" s="77" t="s">
        <v>404</v>
      </c>
      <c r="C36" s="78" t="s">
        <v>405</v>
      </c>
      <c r="D36" s="85"/>
      <c r="E36" s="22"/>
      <c r="F36" s="83" t="s">
        <v>406</v>
      </c>
      <c r="G36" s="18" t="s">
        <v>15</v>
      </c>
      <c r="H36" s="18"/>
      <c r="I36" s="18"/>
      <c r="J36" s="18" t="b">
        <v>0</v>
      </c>
    </row>
    <row r="37" ht="15.75" customHeight="1">
      <c r="A37" s="46" t="s">
        <v>12</v>
      </c>
      <c r="B37" s="77" t="s">
        <v>172</v>
      </c>
      <c r="C37" s="78" t="s">
        <v>407</v>
      </c>
      <c r="D37" s="79"/>
      <c r="E37" s="22"/>
      <c r="F37" s="83" t="s">
        <v>408</v>
      </c>
      <c r="G37" s="18" t="s">
        <v>15</v>
      </c>
      <c r="H37" s="18"/>
      <c r="I37" s="18"/>
      <c r="J37" s="18" t="b">
        <v>0</v>
      </c>
    </row>
    <row r="38" ht="15.75" customHeight="1">
      <c r="A38" s="46" t="s">
        <v>248</v>
      </c>
      <c r="B38" s="77" t="s">
        <v>409</v>
      </c>
      <c r="C38" s="78" t="s">
        <v>410</v>
      </c>
      <c r="D38" s="87"/>
      <c r="E38" s="48"/>
      <c r="F38" s="83" t="s">
        <v>411</v>
      </c>
      <c r="G38" s="51" t="s">
        <v>15</v>
      </c>
      <c r="H38" s="18"/>
      <c r="I38" s="51"/>
      <c r="J38" s="18" t="b">
        <v>0</v>
      </c>
    </row>
    <row r="39" ht="15.75" customHeight="1">
      <c r="A39" s="46" t="s">
        <v>171</v>
      </c>
      <c r="B39" s="77" t="s">
        <v>412</v>
      </c>
      <c r="C39" s="78" t="s">
        <v>413</v>
      </c>
      <c r="D39" s="79"/>
      <c r="E39" s="22"/>
      <c r="F39" s="89">
        <v>370371.272</v>
      </c>
      <c r="G39" s="51" t="s">
        <v>15</v>
      </c>
      <c r="H39" s="18"/>
      <c r="I39" s="18"/>
      <c r="J39" s="18" t="b">
        <v>0</v>
      </c>
    </row>
    <row r="40" ht="15.75" customHeight="1">
      <c r="A40" s="46" t="s">
        <v>308</v>
      </c>
      <c r="B40" s="77" t="s">
        <v>414</v>
      </c>
      <c r="C40" s="78" t="s">
        <v>415</v>
      </c>
      <c r="D40" s="79"/>
      <c r="E40" s="22"/>
      <c r="F40" s="83" t="s">
        <v>416</v>
      </c>
      <c r="G40" s="51" t="s">
        <v>15</v>
      </c>
      <c r="H40" s="18"/>
      <c r="I40" s="18"/>
      <c r="J40" s="18" t="b">
        <v>0</v>
      </c>
    </row>
    <row r="41" ht="15.75" customHeight="1">
      <c r="A41" s="46" t="s">
        <v>66</v>
      </c>
      <c r="B41" s="90" t="s">
        <v>417</v>
      </c>
      <c r="C41" s="78" t="s">
        <v>418</v>
      </c>
      <c r="D41" s="79"/>
      <c r="E41" s="22"/>
      <c r="F41" s="83" t="s">
        <v>419</v>
      </c>
      <c r="G41" s="51" t="s">
        <v>15</v>
      </c>
      <c r="H41" s="18"/>
      <c r="I41" s="18"/>
      <c r="J41" s="18" t="b">
        <v>0</v>
      </c>
    </row>
    <row r="42" ht="15.75" customHeight="1">
      <c r="A42" s="46" t="s">
        <v>171</v>
      </c>
      <c r="B42" s="77" t="s">
        <v>420</v>
      </c>
      <c r="C42" s="78" t="s">
        <v>421</v>
      </c>
      <c r="D42" s="79"/>
      <c r="E42" s="17"/>
      <c r="F42" s="83" t="s">
        <v>422</v>
      </c>
      <c r="G42" s="51" t="s">
        <v>15</v>
      </c>
      <c r="H42" s="18"/>
      <c r="I42" s="18"/>
      <c r="J42" s="18" t="b">
        <v>0</v>
      </c>
    </row>
    <row r="43" ht="15.75" customHeight="1">
      <c r="A43" s="46" t="s">
        <v>66</v>
      </c>
      <c r="B43" s="77" t="s">
        <v>423</v>
      </c>
      <c r="C43" s="78" t="s">
        <v>424</v>
      </c>
      <c r="D43" s="79"/>
      <c r="E43" s="22"/>
      <c r="F43" s="83" t="s">
        <v>425</v>
      </c>
      <c r="G43" s="51" t="s">
        <v>15</v>
      </c>
      <c r="H43" s="18"/>
      <c r="I43" s="18"/>
      <c r="J43" s="18" t="b">
        <v>0</v>
      </c>
    </row>
    <row r="44" ht="15.75" customHeight="1">
      <c r="A44" s="46" t="s">
        <v>248</v>
      </c>
      <c r="B44" s="91" t="s">
        <v>53</v>
      </c>
      <c r="C44" s="78" t="s">
        <v>426</v>
      </c>
      <c r="D44" s="79" t="s">
        <v>427</v>
      </c>
      <c r="E44" s="22">
        <v>1371.0</v>
      </c>
      <c r="F44" s="83" t="s">
        <v>428</v>
      </c>
      <c r="G44" s="51" t="s">
        <v>363</v>
      </c>
      <c r="H44" s="18"/>
      <c r="I44" s="18"/>
      <c r="J44" s="18" t="b">
        <v>1</v>
      </c>
    </row>
    <row r="45" ht="15.75" customHeight="1">
      <c r="A45" s="46" t="s">
        <v>248</v>
      </c>
      <c r="B45" s="77" t="s">
        <v>221</v>
      </c>
      <c r="C45" s="78" t="s">
        <v>429</v>
      </c>
      <c r="D45" s="79"/>
      <c r="E45" s="41"/>
      <c r="F45" s="83" t="s">
        <v>430</v>
      </c>
      <c r="G45" s="51" t="s">
        <v>15</v>
      </c>
      <c r="H45" s="18"/>
      <c r="I45" s="18"/>
      <c r="J45" s="18" t="b">
        <v>0</v>
      </c>
    </row>
    <row r="46" ht="15.75" customHeight="1">
      <c r="A46" s="46" t="s">
        <v>66</v>
      </c>
      <c r="B46" s="77" t="s">
        <v>49</v>
      </c>
      <c r="C46" s="78" t="s">
        <v>431</v>
      </c>
      <c r="D46" s="79"/>
      <c r="E46" s="41"/>
      <c r="F46" s="83" t="s">
        <v>432</v>
      </c>
      <c r="G46" s="51" t="s">
        <v>15</v>
      </c>
      <c r="H46" s="18"/>
      <c r="I46" s="18"/>
      <c r="J46" s="18" t="b">
        <v>0</v>
      </c>
    </row>
    <row r="47" ht="15.75" customHeight="1">
      <c r="A47" s="46" t="s">
        <v>308</v>
      </c>
      <c r="B47" s="46" t="s">
        <v>433</v>
      </c>
      <c r="C47" s="15" t="s">
        <v>434</v>
      </c>
      <c r="D47" s="77"/>
      <c r="E47" s="92"/>
      <c r="F47" s="17" t="s">
        <v>435</v>
      </c>
      <c r="G47" s="51" t="s">
        <v>15</v>
      </c>
      <c r="H47" s="18"/>
      <c r="I47" s="18"/>
      <c r="J47" s="18" t="b">
        <v>0</v>
      </c>
    </row>
    <row r="48" ht="15.75" customHeight="1">
      <c r="A48" s="46" t="s">
        <v>308</v>
      </c>
      <c r="B48" s="46" t="s">
        <v>62</v>
      </c>
      <c r="C48" s="15" t="s">
        <v>436</v>
      </c>
      <c r="D48" s="77"/>
      <c r="E48" s="41"/>
      <c r="F48" s="22" t="s">
        <v>435</v>
      </c>
      <c r="G48" s="51" t="s">
        <v>15</v>
      </c>
      <c r="H48" s="18"/>
      <c r="I48" s="18"/>
      <c r="J48" s="18" t="b">
        <v>0</v>
      </c>
    </row>
    <row r="49" ht="15.75" customHeight="1">
      <c r="A49" s="46"/>
      <c r="B49" s="46"/>
      <c r="C49" s="14"/>
      <c r="D49" s="15"/>
      <c r="E49" s="92"/>
      <c r="F49" s="17"/>
      <c r="G49" s="51"/>
      <c r="H49" s="18"/>
      <c r="I49" s="18"/>
      <c r="J49" s="18" t="b">
        <v>0</v>
      </c>
    </row>
    <row r="50" ht="15.75" customHeight="1">
      <c r="A50" s="46"/>
      <c r="B50" s="46"/>
      <c r="C50" s="14"/>
      <c r="D50" s="15"/>
      <c r="E50" s="92"/>
      <c r="F50" s="17"/>
      <c r="G50" s="51"/>
      <c r="H50" s="18"/>
      <c r="I50" s="18"/>
      <c r="J50" s="18" t="b">
        <v>0</v>
      </c>
    </row>
    <row r="51" ht="15.75" customHeight="1">
      <c r="A51" s="46"/>
      <c r="B51" s="46"/>
      <c r="C51" s="14"/>
      <c r="D51" s="15"/>
      <c r="E51" s="92"/>
      <c r="F51" s="22"/>
      <c r="G51" s="53"/>
      <c r="H51" s="19"/>
      <c r="I51" s="51"/>
      <c r="J51" s="18"/>
    </row>
    <row r="52" ht="15.75" customHeight="1">
      <c r="A52" s="46"/>
      <c r="B52" s="46"/>
      <c r="C52" s="14"/>
      <c r="D52" s="15"/>
      <c r="E52" s="41"/>
      <c r="F52" s="22"/>
      <c r="G52" s="53"/>
      <c r="H52" s="19"/>
      <c r="I52" s="51"/>
      <c r="J52" s="18"/>
    </row>
    <row r="53" ht="15.75" customHeight="1">
      <c r="A53" s="46"/>
      <c r="B53" s="46"/>
      <c r="C53" s="14"/>
      <c r="D53" s="15"/>
      <c r="E53" s="41"/>
      <c r="F53" s="22"/>
      <c r="G53" s="53"/>
      <c r="H53" s="19"/>
      <c r="I53" s="51"/>
      <c r="J53" s="18"/>
    </row>
    <row r="54" ht="15.75" customHeight="1">
      <c r="A54" s="46"/>
      <c r="B54" s="46"/>
      <c r="C54" s="18"/>
      <c r="D54" s="18"/>
      <c r="E54" s="41"/>
      <c r="F54" s="22"/>
      <c r="G54" s="53"/>
      <c r="H54" s="19"/>
      <c r="I54" s="18"/>
      <c r="J54" s="18"/>
    </row>
    <row r="55" ht="15.75" customHeight="1">
      <c r="A55" s="46"/>
      <c r="B55" s="46"/>
      <c r="C55" s="14"/>
      <c r="D55" s="15"/>
      <c r="E55" s="41"/>
      <c r="F55" s="22"/>
      <c r="G55" s="53"/>
      <c r="H55" s="19"/>
      <c r="I55" s="18"/>
      <c r="J55" s="18"/>
    </row>
    <row r="56" ht="15.75" customHeight="1">
      <c r="A56" s="46"/>
      <c r="B56" s="46"/>
      <c r="C56" s="14"/>
      <c r="D56" s="15"/>
      <c r="E56" s="41"/>
      <c r="F56" s="22"/>
      <c r="G56" s="53"/>
      <c r="H56" s="19"/>
      <c r="I56" s="18"/>
      <c r="J56" s="18"/>
    </row>
    <row r="57" ht="15.75" customHeight="1">
      <c r="A57" s="46"/>
      <c r="B57" s="46"/>
      <c r="C57" s="14"/>
      <c r="D57" s="15"/>
      <c r="E57" s="41"/>
      <c r="F57" s="22"/>
      <c r="G57" s="53"/>
      <c r="H57" s="19"/>
      <c r="I57" s="18"/>
      <c r="J57" s="18"/>
    </row>
    <row r="58" ht="15.75" customHeight="1">
      <c r="A58" s="46"/>
      <c r="B58" s="46"/>
      <c r="C58" s="14"/>
      <c r="D58" s="15"/>
      <c r="E58" s="41"/>
      <c r="F58" s="22"/>
      <c r="G58" s="53"/>
      <c r="H58" s="19"/>
      <c r="I58" s="18"/>
      <c r="J58" s="18"/>
    </row>
    <row r="59" ht="15.75" customHeight="1">
      <c r="A59" s="46"/>
      <c r="B59" s="46"/>
      <c r="C59" s="14"/>
      <c r="D59" s="15"/>
      <c r="E59" s="41"/>
      <c r="F59" s="22"/>
      <c r="G59" s="53"/>
      <c r="H59" s="19"/>
      <c r="I59" s="18"/>
      <c r="J59" s="18"/>
    </row>
    <row r="60" ht="15.75" customHeight="1">
      <c r="A60" s="46"/>
      <c r="B60" s="46"/>
      <c r="C60" s="52"/>
      <c r="D60" s="53"/>
      <c r="E60" s="55"/>
      <c r="F60" s="55"/>
      <c r="G60" s="53"/>
      <c r="H60" s="19"/>
      <c r="I60" s="18"/>
      <c r="J60" s="18"/>
    </row>
    <row r="61" ht="15.75" customHeight="1">
      <c r="A61" s="46"/>
      <c r="B61" s="46"/>
      <c r="C61" s="14"/>
      <c r="D61" s="15"/>
      <c r="E61" s="41"/>
      <c r="F61" s="22"/>
      <c r="G61" s="53"/>
      <c r="H61" s="19"/>
      <c r="I61" s="18"/>
      <c r="J61" s="18"/>
    </row>
    <row r="62" ht="15.75" customHeight="1">
      <c r="A62" s="46"/>
      <c r="B62" s="46"/>
      <c r="C62" s="14"/>
      <c r="D62" s="15"/>
      <c r="E62" s="41"/>
      <c r="F62" s="22"/>
      <c r="G62" s="53"/>
      <c r="H62" s="19"/>
      <c r="I62" s="18"/>
      <c r="J62" s="18"/>
    </row>
    <row r="63" ht="15.75" customHeight="1">
      <c r="A63" s="46"/>
      <c r="B63" s="46"/>
      <c r="C63" s="14"/>
      <c r="D63" s="15"/>
      <c r="E63" s="41"/>
      <c r="F63" s="22"/>
      <c r="G63" s="53"/>
      <c r="H63" s="19"/>
      <c r="I63" s="18"/>
      <c r="J63" s="18"/>
    </row>
    <row r="64" ht="15.75" customHeight="1">
      <c r="A64" s="46"/>
      <c r="B64" s="46"/>
      <c r="C64" s="14"/>
      <c r="D64" s="15"/>
      <c r="E64" s="41"/>
      <c r="F64" s="22"/>
      <c r="G64" s="53"/>
      <c r="H64" s="19"/>
      <c r="I64" s="18"/>
      <c r="J64" s="18"/>
    </row>
    <row r="65" ht="15.75" customHeight="1">
      <c r="A65" s="46"/>
      <c r="B65" s="46"/>
      <c r="C65" s="14"/>
      <c r="D65" s="15"/>
      <c r="E65" s="41"/>
      <c r="F65" s="17"/>
      <c r="G65" s="53"/>
      <c r="H65" s="19"/>
      <c r="I65" s="18"/>
      <c r="J65" s="18"/>
    </row>
    <row r="66" ht="15.75" customHeight="1">
      <c r="A66" s="46"/>
      <c r="B66" s="46"/>
      <c r="C66" s="14"/>
      <c r="D66" s="15"/>
      <c r="E66" s="92"/>
      <c r="F66" s="17"/>
      <c r="G66" s="53"/>
      <c r="H66" s="19"/>
      <c r="I66" s="18"/>
      <c r="J66" s="18"/>
    </row>
    <row r="67" ht="15.75" customHeight="1">
      <c r="A67" s="46"/>
      <c r="B67" s="46"/>
      <c r="C67" s="14"/>
      <c r="D67" s="15"/>
      <c r="E67" s="41"/>
      <c r="F67" s="17"/>
      <c r="G67" s="53"/>
      <c r="H67" s="19"/>
      <c r="I67" s="18"/>
      <c r="J67" s="18"/>
    </row>
    <row r="68" ht="15.75" customHeight="1">
      <c r="A68" s="46"/>
      <c r="B68" s="46"/>
      <c r="C68" s="14"/>
      <c r="D68" s="15"/>
      <c r="E68" s="92"/>
      <c r="F68" s="17"/>
      <c r="G68" s="53"/>
      <c r="H68" s="19"/>
      <c r="I68" s="18"/>
      <c r="J68" s="18"/>
    </row>
    <row r="69" ht="15.75" customHeight="1">
      <c r="A69" s="46"/>
      <c r="B69" s="46"/>
      <c r="C69" s="14"/>
      <c r="D69" s="15"/>
      <c r="E69" s="92"/>
      <c r="F69" s="17"/>
      <c r="G69" s="53"/>
      <c r="H69" s="19"/>
      <c r="I69" s="18"/>
      <c r="J69" s="18"/>
    </row>
    <row r="70" ht="15.75" customHeight="1">
      <c r="A70" s="46"/>
      <c r="B70" s="46"/>
      <c r="C70" s="14"/>
      <c r="D70" s="15"/>
      <c r="E70" s="41"/>
      <c r="F70" s="22"/>
      <c r="G70" s="53"/>
      <c r="H70" s="19"/>
      <c r="I70" s="18"/>
      <c r="J70" s="18"/>
    </row>
    <row r="71" ht="15.75" customHeight="1">
      <c r="A71" s="46"/>
      <c r="B71" s="46"/>
      <c r="C71" s="14"/>
      <c r="D71" s="15"/>
      <c r="E71" s="92"/>
      <c r="F71" s="17"/>
      <c r="G71" s="53"/>
      <c r="H71" s="19"/>
      <c r="I71" s="18"/>
      <c r="J71" s="18"/>
    </row>
    <row r="72" ht="15.75" customHeight="1">
      <c r="A72" s="46"/>
      <c r="B72" s="46"/>
      <c r="C72" s="14"/>
      <c r="D72" s="15"/>
      <c r="E72" s="92"/>
      <c r="F72" s="17"/>
      <c r="G72" s="53"/>
      <c r="H72" s="19"/>
      <c r="I72" s="18"/>
      <c r="J72" s="18"/>
    </row>
    <row r="73" ht="15.75" customHeight="1">
      <c r="A73" s="46"/>
      <c r="B73" s="46"/>
      <c r="C73" s="14"/>
      <c r="D73" s="15"/>
      <c r="E73" s="92"/>
      <c r="F73" s="17"/>
      <c r="G73" s="53"/>
      <c r="H73" s="19"/>
      <c r="I73" s="18"/>
      <c r="J73" s="18"/>
    </row>
    <row r="74" ht="15.75" customHeight="1">
      <c r="A74" s="46"/>
      <c r="B74" s="46"/>
      <c r="C74" s="14"/>
      <c r="D74" s="15"/>
      <c r="E74" s="41"/>
      <c r="F74" s="22"/>
      <c r="G74" s="53"/>
      <c r="H74" s="19"/>
      <c r="I74" s="18"/>
      <c r="J74" s="18"/>
    </row>
    <row r="75" ht="15.75" customHeight="1">
      <c r="A75" s="56"/>
      <c r="B75" s="57"/>
      <c r="C75" s="57"/>
      <c r="D75" s="58"/>
      <c r="E75" s="93"/>
      <c r="F75" s="60"/>
      <c r="G75" s="80"/>
      <c r="H75" s="61"/>
    </row>
    <row r="76" ht="15.75" customHeight="1">
      <c r="A76" s="56"/>
      <c r="B76" s="57"/>
      <c r="C76" s="57"/>
      <c r="D76" s="58"/>
      <c r="E76" s="93"/>
      <c r="F76" s="60"/>
      <c r="G76" s="80"/>
      <c r="H76" s="61"/>
    </row>
    <row r="77" ht="15.75" customHeight="1">
      <c r="A77" s="56"/>
      <c r="B77" s="57"/>
      <c r="C77" s="57"/>
      <c r="D77" s="58"/>
      <c r="E77" s="93"/>
      <c r="F77" s="60"/>
      <c r="G77" s="80"/>
      <c r="H77" s="61"/>
    </row>
    <row r="78" ht="15.75" customHeight="1">
      <c r="A78" s="56"/>
      <c r="B78" s="57"/>
      <c r="C78" s="57"/>
      <c r="D78" s="58"/>
      <c r="E78" s="93"/>
      <c r="F78" s="60"/>
      <c r="G78" s="80"/>
      <c r="H78" s="61"/>
    </row>
    <row r="79" ht="15.75" customHeight="1">
      <c r="A79" s="56"/>
      <c r="B79" s="57"/>
      <c r="C79" s="57"/>
      <c r="D79" s="58"/>
      <c r="E79" s="93"/>
      <c r="F79" s="60"/>
      <c r="G79" s="80"/>
      <c r="H79" s="61"/>
    </row>
    <row r="80" ht="15.75" customHeight="1">
      <c r="A80" s="56"/>
      <c r="B80" s="57"/>
      <c r="C80" s="57"/>
      <c r="D80" s="58"/>
      <c r="E80" s="93"/>
      <c r="F80" s="60"/>
      <c r="G80" s="80"/>
      <c r="H80" s="61"/>
    </row>
    <row r="81" ht="15.75" customHeight="1">
      <c r="A81" s="56"/>
      <c r="B81" s="57"/>
      <c r="C81" s="57"/>
      <c r="D81" s="58"/>
      <c r="E81" s="93"/>
      <c r="F81" s="60"/>
      <c r="G81" s="80"/>
      <c r="H81" s="61"/>
    </row>
    <row r="82" ht="15.75" customHeight="1">
      <c r="A82" s="56"/>
      <c r="B82" s="57"/>
      <c r="C82" s="57"/>
      <c r="D82" s="58"/>
      <c r="E82" s="93"/>
      <c r="F82" s="60"/>
      <c r="G82" s="80"/>
      <c r="H82" s="61"/>
    </row>
    <row r="83" ht="15.75" customHeight="1">
      <c r="A83" s="56"/>
      <c r="B83" s="57"/>
      <c r="C83" s="57"/>
      <c r="D83" s="58"/>
      <c r="E83" s="93"/>
      <c r="F83" s="60"/>
      <c r="G83" s="80"/>
      <c r="H83" s="61"/>
    </row>
    <row r="84" ht="15.75" customHeight="1">
      <c r="A84" s="56"/>
      <c r="B84" s="57"/>
      <c r="C84" s="57"/>
      <c r="D84" s="58"/>
      <c r="E84" s="93"/>
      <c r="F84" s="60"/>
      <c r="G84" s="80"/>
      <c r="H84" s="61"/>
    </row>
    <row r="85" ht="15.75" customHeight="1">
      <c r="A85" s="56"/>
      <c r="B85" s="57"/>
      <c r="C85" s="57"/>
      <c r="D85" s="58"/>
      <c r="E85" s="93"/>
      <c r="F85" s="60"/>
      <c r="G85" s="80"/>
      <c r="H85" s="61"/>
    </row>
    <row r="86" ht="15.75" customHeight="1">
      <c r="A86" s="56"/>
      <c r="B86" s="57"/>
      <c r="C86" s="57"/>
      <c r="D86" s="58"/>
      <c r="E86" s="93"/>
      <c r="F86" s="60"/>
      <c r="G86" s="80"/>
      <c r="H86" s="61"/>
    </row>
    <row r="87" ht="15.75" customHeight="1">
      <c r="A87" s="56"/>
      <c r="B87" s="57"/>
      <c r="C87" s="57"/>
      <c r="D87" s="58"/>
      <c r="E87" s="93"/>
      <c r="F87" s="60"/>
      <c r="G87" s="80"/>
      <c r="H87" s="61"/>
    </row>
    <row r="88" ht="15.75" customHeight="1">
      <c r="A88" s="56"/>
      <c r="B88" s="57"/>
      <c r="C88" s="57"/>
      <c r="D88" s="58"/>
      <c r="E88" s="93"/>
      <c r="F88" s="60"/>
      <c r="G88" s="80"/>
      <c r="H88" s="61"/>
    </row>
    <row r="89" ht="15.75" customHeight="1">
      <c r="A89" s="56"/>
      <c r="B89" s="57"/>
      <c r="C89" s="57"/>
      <c r="D89" s="58"/>
      <c r="E89" s="93"/>
      <c r="F89" s="60"/>
      <c r="G89" s="80"/>
      <c r="H89" s="61"/>
    </row>
    <row r="90" ht="15.75" customHeight="1">
      <c r="A90" s="56"/>
      <c r="B90" s="57"/>
      <c r="C90" s="57"/>
      <c r="D90" s="58"/>
      <c r="E90" s="93"/>
      <c r="F90" s="60"/>
      <c r="G90" s="80"/>
      <c r="H90" s="61"/>
    </row>
    <row r="91" ht="15.75" customHeight="1">
      <c r="A91" s="56"/>
      <c r="B91" s="57"/>
      <c r="C91" s="57"/>
      <c r="D91" s="58"/>
      <c r="E91" s="93"/>
      <c r="F91" s="60"/>
      <c r="G91" s="80"/>
      <c r="H91" s="61"/>
    </row>
    <row r="92" ht="15.75" customHeight="1">
      <c r="A92" s="56"/>
      <c r="B92" s="57"/>
      <c r="C92" s="57"/>
      <c r="D92" s="58"/>
      <c r="E92" s="93"/>
      <c r="F92" s="60"/>
      <c r="G92" s="80"/>
      <c r="H92" s="61"/>
    </row>
    <row r="93" ht="15.75" customHeight="1">
      <c r="A93" s="56"/>
      <c r="B93" s="57"/>
      <c r="C93" s="57"/>
      <c r="D93" s="58"/>
      <c r="E93" s="93"/>
      <c r="F93" s="60"/>
      <c r="G93" s="80"/>
      <c r="H93" s="61"/>
    </row>
    <row r="94" ht="15.75" customHeight="1">
      <c r="A94" s="56"/>
      <c r="B94" s="57"/>
      <c r="C94" s="57"/>
      <c r="D94" s="58"/>
      <c r="E94" s="93"/>
      <c r="F94" s="60"/>
      <c r="G94" s="80"/>
      <c r="H94" s="61"/>
    </row>
    <row r="95" ht="15.75" customHeight="1">
      <c r="A95" s="56"/>
      <c r="B95" s="57"/>
      <c r="C95" s="57"/>
      <c r="D95" s="58"/>
      <c r="E95" s="93"/>
      <c r="F95" s="60"/>
      <c r="G95" s="80"/>
      <c r="H95" s="61"/>
    </row>
    <row r="96" ht="15.75" customHeight="1">
      <c r="A96" s="56"/>
      <c r="B96" s="57"/>
      <c r="C96" s="57"/>
      <c r="D96" s="58"/>
      <c r="E96" s="93"/>
      <c r="F96" s="60"/>
      <c r="G96" s="80"/>
      <c r="H96" s="61"/>
    </row>
    <row r="97" ht="15.75" customHeight="1">
      <c r="A97" s="56"/>
      <c r="B97" s="57"/>
      <c r="C97" s="57"/>
      <c r="D97" s="58"/>
      <c r="E97" s="93"/>
      <c r="F97" s="60"/>
      <c r="G97" s="80"/>
      <c r="H97" s="61"/>
    </row>
    <row r="98" ht="15.75" customHeight="1">
      <c r="A98" s="56"/>
      <c r="B98" s="57"/>
      <c r="C98" s="57"/>
      <c r="D98" s="58"/>
      <c r="E98" s="93"/>
      <c r="F98" s="60"/>
      <c r="G98" s="80"/>
      <c r="H98" s="61"/>
    </row>
    <row r="99" ht="15.75" customHeight="1">
      <c r="A99" s="56"/>
      <c r="B99" s="57"/>
      <c r="C99" s="57"/>
      <c r="D99" s="58"/>
      <c r="E99" s="93"/>
      <c r="F99" s="60"/>
      <c r="G99" s="80"/>
      <c r="H99" s="61"/>
    </row>
    <row r="100" ht="15.75" customHeight="1">
      <c r="A100" s="56"/>
      <c r="B100" s="57"/>
      <c r="C100" s="57"/>
      <c r="D100" s="58"/>
      <c r="E100" s="93"/>
      <c r="F100" s="60"/>
      <c r="G100" s="80"/>
      <c r="H100" s="61"/>
    </row>
    <row r="101" ht="15.75" customHeight="1">
      <c r="A101" s="56"/>
      <c r="B101" s="57"/>
      <c r="C101" s="57"/>
      <c r="D101" s="58"/>
      <c r="E101" s="93"/>
      <c r="F101" s="60"/>
      <c r="G101" s="80"/>
      <c r="H101" s="61"/>
    </row>
    <row r="102" ht="15.75" customHeight="1">
      <c r="A102" s="56"/>
      <c r="B102" s="57"/>
      <c r="C102" s="57"/>
      <c r="D102" s="58"/>
      <c r="E102" s="93"/>
      <c r="F102" s="60"/>
      <c r="G102" s="80"/>
      <c r="H102" s="61"/>
    </row>
    <row r="103" ht="15.75" customHeight="1">
      <c r="A103" s="56"/>
      <c r="B103" s="57"/>
      <c r="C103" s="57"/>
      <c r="D103" s="58"/>
      <c r="E103" s="93"/>
      <c r="F103" s="60"/>
      <c r="G103" s="80"/>
      <c r="H103" s="61"/>
    </row>
    <row r="104" ht="15.75" customHeight="1">
      <c r="A104" s="56"/>
      <c r="B104" s="57"/>
      <c r="C104" s="57"/>
      <c r="D104" s="58"/>
      <c r="E104" s="93"/>
      <c r="F104" s="60"/>
      <c r="G104" s="80"/>
      <c r="H104" s="61"/>
    </row>
    <row r="105" ht="15.75" customHeight="1">
      <c r="A105" s="56"/>
      <c r="B105" s="57"/>
      <c r="C105" s="57"/>
      <c r="D105" s="58"/>
      <c r="E105" s="93"/>
      <c r="F105" s="60"/>
      <c r="G105" s="80"/>
      <c r="H105" s="61"/>
    </row>
    <row r="106" ht="15.75" customHeight="1">
      <c r="A106" s="56"/>
      <c r="B106" s="57"/>
      <c r="C106" s="57"/>
      <c r="D106" s="58"/>
      <c r="E106" s="93"/>
      <c r="F106" s="60"/>
      <c r="G106" s="80"/>
      <c r="H106" s="61"/>
    </row>
    <row r="107" ht="15.75" customHeight="1">
      <c r="A107" s="56"/>
      <c r="B107" s="57"/>
      <c r="C107" s="57"/>
      <c r="D107" s="58"/>
      <c r="E107" s="93"/>
      <c r="F107" s="60"/>
      <c r="G107" s="80"/>
      <c r="H107" s="61"/>
    </row>
    <row r="108" ht="15.75" customHeight="1">
      <c r="A108" s="56"/>
      <c r="B108" s="57"/>
      <c r="C108" s="57"/>
      <c r="D108" s="58"/>
      <c r="E108" s="93"/>
      <c r="F108" s="60"/>
      <c r="G108" s="80"/>
      <c r="H108" s="61"/>
    </row>
    <row r="109" ht="15.75" customHeight="1">
      <c r="A109" s="56"/>
      <c r="B109" s="57"/>
      <c r="C109" s="57"/>
      <c r="D109" s="58"/>
      <c r="E109" s="93"/>
      <c r="F109" s="60"/>
      <c r="G109" s="80"/>
      <c r="H109" s="61"/>
    </row>
    <row r="110" ht="15.75" customHeight="1">
      <c r="A110" s="56"/>
      <c r="B110" s="57"/>
      <c r="C110" s="57"/>
      <c r="D110" s="58"/>
      <c r="E110" s="93"/>
      <c r="F110" s="60"/>
      <c r="G110" s="80"/>
      <c r="H110" s="61"/>
    </row>
    <row r="111" ht="15.75" customHeight="1">
      <c r="A111" s="56"/>
      <c r="B111" s="57"/>
      <c r="C111" s="57"/>
      <c r="D111" s="58"/>
      <c r="E111" s="93"/>
      <c r="F111" s="60"/>
      <c r="G111" s="80"/>
      <c r="H111" s="61"/>
    </row>
    <row r="112" ht="15.75" customHeight="1">
      <c r="A112" s="56"/>
      <c r="B112" s="57"/>
      <c r="C112" s="57"/>
      <c r="D112" s="58"/>
      <c r="E112" s="93"/>
      <c r="F112" s="60"/>
      <c r="G112" s="80"/>
      <c r="H112" s="61"/>
    </row>
    <row r="113" ht="15.75" customHeight="1">
      <c r="A113" s="56"/>
      <c r="B113" s="57"/>
      <c r="C113" s="57"/>
      <c r="D113" s="58"/>
      <c r="E113" s="93"/>
      <c r="F113" s="60"/>
      <c r="G113" s="80"/>
      <c r="H113" s="61"/>
    </row>
    <row r="114" ht="15.75" customHeight="1">
      <c r="A114" s="56"/>
      <c r="B114" s="57"/>
      <c r="C114" s="57"/>
      <c r="D114" s="58"/>
      <c r="E114" s="93"/>
      <c r="F114" s="60"/>
      <c r="G114" s="80"/>
      <c r="H114" s="61"/>
    </row>
    <row r="115" ht="15.75" customHeight="1">
      <c r="A115" s="56"/>
      <c r="B115" s="57"/>
      <c r="C115" s="57"/>
      <c r="D115" s="58"/>
      <c r="E115" s="93"/>
      <c r="F115" s="60"/>
      <c r="G115" s="80"/>
      <c r="H115" s="61"/>
    </row>
    <row r="116" ht="15.75" customHeight="1">
      <c r="A116" s="56"/>
      <c r="B116" s="57"/>
      <c r="C116" s="57"/>
      <c r="D116" s="58"/>
      <c r="E116" s="93"/>
      <c r="F116" s="60"/>
      <c r="G116" s="80"/>
      <c r="H116" s="61"/>
    </row>
    <row r="117" ht="15.75" customHeight="1">
      <c r="A117" s="56"/>
      <c r="B117" s="57"/>
      <c r="C117" s="57"/>
      <c r="D117" s="58"/>
      <c r="E117" s="93"/>
      <c r="F117" s="60"/>
      <c r="G117" s="80"/>
      <c r="H117" s="61"/>
    </row>
    <row r="118" ht="15.75" customHeight="1">
      <c r="A118" s="56"/>
      <c r="B118" s="57"/>
      <c r="C118" s="57"/>
      <c r="D118" s="58"/>
      <c r="E118" s="93"/>
      <c r="F118" s="60"/>
      <c r="G118" s="80"/>
      <c r="H118" s="61"/>
    </row>
    <row r="119" ht="15.75" customHeight="1">
      <c r="A119" s="56"/>
      <c r="B119" s="57"/>
      <c r="C119" s="57"/>
      <c r="D119" s="58"/>
      <c r="E119" s="93"/>
      <c r="F119" s="60"/>
      <c r="G119" s="80"/>
      <c r="H119" s="61"/>
    </row>
    <row r="120" ht="15.75" customHeight="1">
      <c r="A120" s="56"/>
      <c r="B120" s="57"/>
      <c r="C120" s="57"/>
      <c r="D120" s="58"/>
      <c r="E120" s="93"/>
      <c r="F120" s="60"/>
      <c r="G120" s="80"/>
      <c r="H120" s="61"/>
    </row>
    <row r="121" ht="15.75" customHeight="1">
      <c r="A121" s="56"/>
      <c r="B121" s="57"/>
      <c r="C121" s="57"/>
      <c r="D121" s="58"/>
      <c r="E121" s="93"/>
      <c r="F121" s="60"/>
      <c r="G121" s="80"/>
      <c r="H121" s="61"/>
    </row>
    <row r="122" ht="15.75" customHeight="1">
      <c r="A122" s="56"/>
      <c r="B122" s="57"/>
      <c r="C122" s="57"/>
      <c r="D122" s="58"/>
      <c r="E122" s="93"/>
      <c r="F122" s="60"/>
      <c r="G122" s="80"/>
      <c r="H122" s="61"/>
    </row>
    <row r="123" ht="15.75" customHeight="1">
      <c r="A123" s="56"/>
      <c r="B123" s="57"/>
      <c r="C123" s="57"/>
      <c r="D123" s="58"/>
      <c r="E123" s="93"/>
      <c r="F123" s="60"/>
      <c r="G123" s="80"/>
      <c r="H123" s="61"/>
    </row>
    <row r="124" ht="15.75" customHeight="1">
      <c r="A124" s="56"/>
      <c r="B124" s="57"/>
      <c r="C124" s="57"/>
      <c r="D124" s="58"/>
      <c r="E124" s="93"/>
      <c r="F124" s="60"/>
      <c r="G124" s="80"/>
      <c r="H124" s="61"/>
    </row>
    <row r="125" ht="15.75" customHeight="1">
      <c r="A125" s="56"/>
      <c r="B125" s="57"/>
      <c r="C125" s="57"/>
      <c r="D125" s="58"/>
      <c r="E125" s="93"/>
      <c r="F125" s="60"/>
      <c r="G125" s="80"/>
      <c r="H125" s="61"/>
    </row>
    <row r="126" ht="15.75" customHeight="1">
      <c r="A126" s="56"/>
      <c r="B126" s="57"/>
      <c r="C126" s="57"/>
      <c r="D126" s="58"/>
      <c r="E126" s="93"/>
      <c r="F126" s="60"/>
      <c r="G126" s="80"/>
      <c r="H126" s="61"/>
    </row>
    <row r="127" ht="15.75" customHeight="1">
      <c r="A127" s="56"/>
      <c r="B127" s="57"/>
      <c r="C127" s="57"/>
      <c r="D127" s="58"/>
      <c r="E127" s="93"/>
      <c r="F127" s="60"/>
      <c r="G127" s="80"/>
      <c r="H127" s="61"/>
    </row>
    <row r="128" ht="15.75" customHeight="1">
      <c r="A128" s="56"/>
      <c r="B128" s="57"/>
      <c r="C128" s="57"/>
      <c r="D128" s="58"/>
      <c r="E128" s="93"/>
      <c r="F128" s="60"/>
      <c r="G128" s="80"/>
      <c r="H128" s="61"/>
    </row>
    <row r="129" ht="15.75" customHeight="1">
      <c r="A129" s="56"/>
      <c r="B129" s="57"/>
      <c r="C129" s="57"/>
      <c r="D129" s="58"/>
      <c r="E129" s="93"/>
      <c r="F129" s="60"/>
      <c r="G129" s="80"/>
      <c r="H129" s="61"/>
    </row>
    <row r="130" ht="15.75" customHeight="1">
      <c r="A130" s="56"/>
      <c r="B130" s="57"/>
      <c r="C130" s="57"/>
      <c r="D130" s="58"/>
      <c r="E130" s="93"/>
      <c r="F130" s="60"/>
      <c r="G130" s="80"/>
      <c r="H130" s="61"/>
    </row>
    <row r="131" ht="15.75" customHeight="1">
      <c r="A131" s="56"/>
      <c r="B131" s="57"/>
      <c r="C131" s="57"/>
      <c r="D131" s="58"/>
      <c r="E131" s="93"/>
      <c r="F131" s="60"/>
      <c r="G131" s="80"/>
      <c r="H131" s="61"/>
    </row>
    <row r="132" ht="15.75" customHeight="1">
      <c r="A132" s="56"/>
      <c r="B132" s="57"/>
      <c r="C132" s="57"/>
      <c r="D132" s="58"/>
      <c r="E132" s="93"/>
      <c r="F132" s="60"/>
      <c r="G132" s="80"/>
      <c r="H132" s="61"/>
    </row>
    <row r="133" ht="15.75" customHeight="1">
      <c r="A133" s="56"/>
      <c r="B133" s="57"/>
      <c r="C133" s="57"/>
      <c r="D133" s="58"/>
      <c r="E133" s="93"/>
      <c r="F133" s="60"/>
      <c r="G133" s="80"/>
      <c r="H133" s="61"/>
    </row>
    <row r="134" ht="15.75" customHeight="1">
      <c r="A134" s="56"/>
      <c r="B134" s="57"/>
      <c r="C134" s="57"/>
      <c r="D134" s="58"/>
      <c r="E134" s="93"/>
      <c r="F134" s="60"/>
      <c r="G134" s="80"/>
      <c r="H134" s="61"/>
    </row>
    <row r="135" ht="15.75" customHeight="1">
      <c r="A135" s="56"/>
      <c r="B135" s="57"/>
      <c r="C135" s="57"/>
      <c r="D135" s="58"/>
      <c r="E135" s="93"/>
      <c r="F135" s="60"/>
      <c r="G135" s="80"/>
      <c r="H135" s="61"/>
    </row>
    <row r="136" ht="15.75" customHeight="1">
      <c r="A136" s="56"/>
      <c r="B136" s="57"/>
      <c r="C136" s="57"/>
      <c r="D136" s="58"/>
      <c r="E136" s="93"/>
      <c r="F136" s="60"/>
      <c r="G136" s="80"/>
      <c r="H136" s="61"/>
    </row>
    <row r="137" ht="15.75" customHeight="1">
      <c r="A137" s="56"/>
      <c r="B137" s="57"/>
      <c r="C137" s="57"/>
      <c r="D137" s="58"/>
      <c r="E137" s="93"/>
      <c r="F137" s="60"/>
      <c r="G137" s="80"/>
      <c r="H137" s="61"/>
    </row>
    <row r="138" ht="15.75" customHeight="1">
      <c r="A138" s="56"/>
      <c r="B138" s="57"/>
      <c r="C138" s="57"/>
      <c r="D138" s="58"/>
      <c r="E138" s="93"/>
      <c r="F138" s="60"/>
      <c r="G138" s="80"/>
      <c r="H138" s="61"/>
    </row>
    <row r="139" ht="15.75" customHeight="1">
      <c r="A139" s="56"/>
      <c r="B139" s="57"/>
      <c r="C139" s="57"/>
      <c r="D139" s="58"/>
      <c r="E139" s="93"/>
      <c r="F139" s="60"/>
      <c r="G139" s="80"/>
      <c r="H139" s="61"/>
    </row>
    <row r="140" ht="15.75" customHeight="1">
      <c r="A140" s="56"/>
      <c r="B140" s="57"/>
      <c r="C140" s="57"/>
      <c r="D140" s="58"/>
      <c r="E140" s="93"/>
      <c r="F140" s="60"/>
      <c r="G140" s="80"/>
      <c r="H140" s="61"/>
    </row>
    <row r="141" ht="15.75" customHeight="1">
      <c r="A141" s="56"/>
      <c r="B141" s="57"/>
      <c r="C141" s="57"/>
      <c r="D141" s="58"/>
      <c r="E141" s="93"/>
      <c r="F141" s="60"/>
      <c r="G141" s="80"/>
      <c r="H141" s="61"/>
    </row>
    <row r="142" ht="15.75" customHeight="1">
      <c r="A142" s="56"/>
      <c r="B142" s="57"/>
      <c r="C142" s="57"/>
      <c r="D142" s="58"/>
      <c r="E142" s="93"/>
      <c r="F142" s="60"/>
      <c r="G142" s="80"/>
      <c r="H142" s="61"/>
    </row>
    <row r="143" ht="15.75" customHeight="1">
      <c r="A143" s="56"/>
      <c r="B143" s="57"/>
      <c r="C143" s="57"/>
      <c r="D143" s="58"/>
      <c r="E143" s="93"/>
      <c r="F143" s="60"/>
      <c r="G143" s="80"/>
      <c r="H143" s="61"/>
    </row>
    <row r="144" ht="15.75" customHeight="1">
      <c r="A144" s="56"/>
      <c r="B144" s="57"/>
      <c r="C144" s="57"/>
      <c r="D144" s="58"/>
      <c r="E144" s="93"/>
      <c r="F144" s="60"/>
      <c r="G144" s="80"/>
      <c r="H144" s="61"/>
    </row>
    <row r="145" ht="15.75" customHeight="1">
      <c r="A145" s="56"/>
      <c r="B145" s="57"/>
      <c r="C145" s="57"/>
      <c r="D145" s="58"/>
      <c r="E145" s="93"/>
      <c r="F145" s="60"/>
      <c r="G145" s="80"/>
      <c r="H145" s="61"/>
    </row>
    <row r="146" ht="15.75" customHeight="1">
      <c r="A146" s="56"/>
      <c r="B146" s="57"/>
      <c r="C146" s="57"/>
      <c r="D146" s="58"/>
      <c r="E146" s="93"/>
      <c r="F146" s="60"/>
      <c r="G146" s="80"/>
      <c r="H146" s="61"/>
    </row>
    <row r="147" ht="15.75" customHeight="1">
      <c r="A147" s="56"/>
      <c r="B147" s="57"/>
      <c r="C147" s="57"/>
      <c r="D147" s="58"/>
      <c r="E147" s="93"/>
      <c r="F147" s="60"/>
      <c r="G147" s="80"/>
      <c r="H147" s="61"/>
    </row>
    <row r="148" ht="15.75" customHeight="1">
      <c r="A148" s="56"/>
      <c r="B148" s="57"/>
      <c r="C148" s="57"/>
      <c r="D148" s="58"/>
      <c r="E148" s="93"/>
      <c r="F148" s="60"/>
      <c r="G148" s="80"/>
      <c r="H148" s="61"/>
    </row>
    <row r="149" ht="15.75" customHeight="1">
      <c r="A149" s="56"/>
      <c r="B149" s="57"/>
      <c r="C149" s="57"/>
      <c r="D149" s="58"/>
      <c r="E149" s="93"/>
      <c r="F149" s="60"/>
      <c r="G149" s="80"/>
      <c r="H149" s="61"/>
    </row>
    <row r="150" ht="15.75" customHeight="1">
      <c r="A150" s="56"/>
      <c r="B150" s="57"/>
      <c r="C150" s="57"/>
      <c r="D150" s="58"/>
      <c r="E150" s="93"/>
      <c r="F150" s="60"/>
      <c r="G150" s="80"/>
      <c r="H150" s="61"/>
    </row>
    <row r="151" ht="15.75" customHeight="1">
      <c r="A151" s="56"/>
      <c r="B151" s="57"/>
      <c r="C151" s="57"/>
      <c r="D151" s="58"/>
      <c r="E151" s="93"/>
      <c r="F151" s="60"/>
      <c r="G151" s="80"/>
      <c r="H151" s="61"/>
    </row>
    <row r="152" ht="15.75" customHeight="1">
      <c r="A152" s="56"/>
      <c r="B152" s="57"/>
      <c r="C152" s="57"/>
      <c r="D152" s="58"/>
      <c r="E152" s="93"/>
      <c r="F152" s="60"/>
      <c r="G152" s="80"/>
      <c r="H152" s="61"/>
    </row>
    <row r="153" ht="15.75" customHeight="1">
      <c r="A153" s="56"/>
      <c r="B153" s="57"/>
      <c r="C153" s="57"/>
      <c r="D153" s="58"/>
      <c r="E153" s="93"/>
      <c r="F153" s="60"/>
      <c r="G153" s="80"/>
      <c r="H153" s="61"/>
    </row>
    <row r="154" ht="15.75" customHeight="1">
      <c r="A154" s="56"/>
      <c r="B154" s="57"/>
      <c r="C154" s="57"/>
      <c r="D154" s="58"/>
      <c r="E154" s="93"/>
      <c r="F154" s="60"/>
      <c r="G154" s="80"/>
      <c r="H154" s="61"/>
    </row>
    <row r="155" ht="15.75" customHeight="1">
      <c r="A155" s="56"/>
      <c r="B155" s="57"/>
      <c r="C155" s="57"/>
      <c r="D155" s="58"/>
      <c r="E155" s="93"/>
      <c r="F155" s="60"/>
      <c r="G155" s="80"/>
      <c r="H155" s="61"/>
    </row>
    <row r="156" ht="15.75" customHeight="1">
      <c r="A156" s="56"/>
      <c r="B156" s="57"/>
      <c r="C156" s="57"/>
      <c r="D156" s="58"/>
      <c r="E156" s="93"/>
      <c r="F156" s="60"/>
      <c r="G156" s="80"/>
      <c r="H156" s="61"/>
    </row>
    <row r="157" ht="15.75" customHeight="1">
      <c r="A157" s="56"/>
      <c r="B157" s="57"/>
      <c r="C157" s="57"/>
      <c r="D157" s="58"/>
      <c r="E157" s="93"/>
      <c r="F157" s="60"/>
      <c r="G157" s="80"/>
      <c r="H157" s="61"/>
    </row>
    <row r="158" ht="15.75" customHeight="1">
      <c r="A158" s="56"/>
      <c r="B158" s="57"/>
      <c r="C158" s="57"/>
      <c r="D158" s="58"/>
      <c r="E158" s="93"/>
      <c r="F158" s="60"/>
      <c r="G158" s="80"/>
      <c r="H158" s="61"/>
    </row>
    <row r="159" ht="15.75" customHeight="1">
      <c r="A159" s="56"/>
      <c r="B159" s="57"/>
      <c r="C159" s="57"/>
      <c r="D159" s="58"/>
      <c r="E159" s="93"/>
      <c r="F159" s="60"/>
      <c r="G159" s="80"/>
      <c r="H159" s="61"/>
    </row>
    <row r="160" ht="15.75" customHeight="1">
      <c r="A160" s="56"/>
      <c r="B160" s="57"/>
      <c r="C160" s="57"/>
      <c r="D160" s="58"/>
      <c r="E160" s="93"/>
      <c r="F160" s="60"/>
      <c r="G160" s="80"/>
      <c r="H160" s="61"/>
    </row>
    <row r="161" ht="15.75" customHeight="1">
      <c r="A161" s="56"/>
      <c r="B161" s="57"/>
      <c r="C161" s="57"/>
      <c r="D161" s="58"/>
      <c r="E161" s="93"/>
      <c r="F161" s="60"/>
      <c r="G161" s="80"/>
      <c r="H161" s="61"/>
    </row>
    <row r="162" ht="15.75" customHeight="1">
      <c r="A162" s="56"/>
      <c r="B162" s="57"/>
      <c r="C162" s="57"/>
      <c r="D162" s="58"/>
      <c r="E162" s="93"/>
      <c r="F162" s="60"/>
      <c r="G162" s="80"/>
      <c r="H162" s="61"/>
    </row>
    <row r="163" ht="15.75" customHeight="1">
      <c r="A163" s="56"/>
      <c r="B163" s="57"/>
      <c r="C163" s="57"/>
      <c r="D163" s="58"/>
      <c r="E163" s="93"/>
      <c r="F163" s="60"/>
      <c r="G163" s="80"/>
      <c r="H163" s="61"/>
    </row>
    <row r="164" ht="15.75" customHeight="1">
      <c r="A164" s="56"/>
      <c r="B164" s="57"/>
      <c r="C164" s="57"/>
      <c r="D164" s="58"/>
      <c r="E164" s="93"/>
      <c r="F164" s="60"/>
      <c r="G164" s="80"/>
      <c r="H164" s="61"/>
    </row>
    <row r="165" ht="15.75" customHeight="1">
      <c r="A165" s="56"/>
      <c r="B165" s="57"/>
      <c r="C165" s="57"/>
      <c r="D165" s="58"/>
      <c r="E165" s="93"/>
      <c r="F165" s="60"/>
      <c r="G165" s="80"/>
      <c r="H165" s="61"/>
    </row>
    <row r="166" ht="15.75" customHeight="1">
      <c r="A166" s="56"/>
      <c r="B166" s="57"/>
      <c r="C166" s="57"/>
      <c r="D166" s="58"/>
      <c r="E166" s="93"/>
      <c r="F166" s="60"/>
      <c r="G166" s="80"/>
      <c r="H166" s="61"/>
    </row>
    <row r="167" ht="15.75" customHeight="1">
      <c r="A167" s="56"/>
      <c r="B167" s="57"/>
      <c r="C167" s="57"/>
      <c r="D167" s="58"/>
      <c r="E167" s="93"/>
      <c r="F167" s="60"/>
      <c r="G167" s="80"/>
      <c r="H167" s="61"/>
    </row>
    <row r="168" ht="15.75" customHeight="1">
      <c r="A168" s="56"/>
      <c r="B168" s="57"/>
      <c r="C168" s="57"/>
      <c r="D168" s="58"/>
      <c r="E168" s="93"/>
      <c r="F168" s="60"/>
      <c r="G168" s="80"/>
      <c r="H168" s="61"/>
    </row>
    <row r="169" ht="15.75" customHeight="1">
      <c r="A169" s="56"/>
      <c r="B169" s="57"/>
      <c r="C169" s="57"/>
      <c r="D169" s="58"/>
      <c r="E169" s="93"/>
      <c r="F169" s="60"/>
      <c r="G169" s="80"/>
      <c r="H169" s="61"/>
    </row>
    <row r="170" ht="15.75" customHeight="1">
      <c r="A170" s="56"/>
      <c r="B170" s="57"/>
      <c r="C170" s="57"/>
      <c r="D170" s="58"/>
      <c r="E170" s="93"/>
      <c r="F170" s="60"/>
      <c r="G170" s="80"/>
      <c r="H170" s="61"/>
    </row>
    <row r="171" ht="15.75" customHeight="1">
      <c r="A171" s="56"/>
      <c r="B171" s="57"/>
      <c r="C171" s="57"/>
      <c r="D171" s="58"/>
      <c r="E171" s="93"/>
      <c r="F171" s="60"/>
      <c r="G171" s="80"/>
      <c r="H171" s="61"/>
    </row>
    <row r="172" ht="15.75" customHeight="1">
      <c r="A172" s="56"/>
      <c r="B172" s="57"/>
      <c r="C172" s="57"/>
      <c r="D172" s="58"/>
      <c r="E172" s="93"/>
      <c r="F172" s="60"/>
      <c r="G172" s="80"/>
      <c r="H172" s="61"/>
    </row>
    <row r="173" ht="15.75" customHeight="1">
      <c r="A173" s="56"/>
      <c r="B173" s="57"/>
      <c r="C173" s="57"/>
      <c r="D173" s="58"/>
      <c r="E173" s="93"/>
      <c r="F173" s="60"/>
      <c r="G173" s="80"/>
      <c r="H173" s="61"/>
    </row>
    <row r="174" ht="15.75" customHeight="1">
      <c r="A174" s="56"/>
      <c r="B174" s="57"/>
      <c r="C174" s="57"/>
      <c r="D174" s="58"/>
      <c r="E174" s="93"/>
      <c r="F174" s="60"/>
      <c r="G174" s="80"/>
      <c r="H174" s="61"/>
    </row>
    <row r="175" ht="15.75" customHeight="1">
      <c r="A175" s="56"/>
      <c r="B175" s="57"/>
      <c r="C175" s="57"/>
      <c r="D175" s="58"/>
      <c r="E175" s="93"/>
      <c r="F175" s="60"/>
      <c r="G175" s="80"/>
      <c r="H175" s="61"/>
    </row>
    <row r="176" ht="15.75" customHeight="1">
      <c r="A176" s="56"/>
      <c r="B176" s="57"/>
      <c r="C176" s="57"/>
      <c r="D176" s="58"/>
      <c r="E176" s="93"/>
      <c r="F176" s="60"/>
      <c r="G176" s="80"/>
      <c r="H176" s="61"/>
    </row>
    <row r="177" ht="15.75" customHeight="1">
      <c r="A177" s="56"/>
      <c r="B177" s="57"/>
      <c r="C177" s="57"/>
      <c r="D177" s="58"/>
      <c r="E177" s="93"/>
      <c r="F177" s="60"/>
      <c r="G177" s="80"/>
      <c r="H177" s="61"/>
    </row>
    <row r="178" ht="15.75" customHeight="1">
      <c r="A178" s="56"/>
      <c r="B178" s="57"/>
      <c r="C178" s="57"/>
      <c r="D178" s="58"/>
      <c r="E178" s="93"/>
      <c r="F178" s="60"/>
      <c r="G178" s="80"/>
      <c r="H178" s="61"/>
    </row>
    <row r="179" ht="15.75" customHeight="1">
      <c r="A179" s="56"/>
      <c r="B179" s="57"/>
      <c r="C179" s="57"/>
      <c r="D179" s="58"/>
      <c r="E179" s="93"/>
      <c r="F179" s="60"/>
      <c r="G179" s="80"/>
      <c r="H179" s="61"/>
    </row>
    <row r="180" ht="15.75" customHeight="1">
      <c r="A180" s="56"/>
      <c r="B180" s="57"/>
      <c r="C180" s="57"/>
      <c r="D180" s="58"/>
      <c r="E180" s="93"/>
      <c r="F180" s="60"/>
      <c r="G180" s="80"/>
      <c r="H180" s="61"/>
    </row>
    <row r="181" ht="15.75" customHeight="1">
      <c r="A181" s="56"/>
      <c r="B181" s="57"/>
      <c r="C181" s="57"/>
      <c r="D181" s="58"/>
      <c r="E181" s="93"/>
      <c r="F181" s="60"/>
      <c r="G181" s="80"/>
      <c r="H181" s="61"/>
    </row>
    <row r="182" ht="15.75" customHeight="1">
      <c r="A182" s="56"/>
      <c r="B182" s="57"/>
      <c r="C182" s="57"/>
      <c r="D182" s="58"/>
      <c r="E182" s="93"/>
      <c r="F182" s="60"/>
      <c r="G182" s="80"/>
      <c r="H182" s="61"/>
    </row>
    <row r="183" ht="15.75" customHeight="1">
      <c r="A183" s="56"/>
      <c r="B183" s="57"/>
      <c r="C183" s="57"/>
      <c r="D183" s="58"/>
      <c r="E183" s="93"/>
      <c r="F183" s="60"/>
      <c r="G183" s="80"/>
      <c r="H183" s="61"/>
    </row>
    <row r="184" ht="15.75" customHeight="1">
      <c r="A184" s="56"/>
      <c r="B184" s="57"/>
      <c r="C184" s="57"/>
      <c r="D184" s="58"/>
      <c r="E184" s="93"/>
      <c r="F184" s="60"/>
      <c r="G184" s="80"/>
      <c r="H184" s="61"/>
    </row>
    <row r="185" ht="15.75" customHeight="1">
      <c r="A185" s="56"/>
      <c r="B185" s="57"/>
      <c r="C185" s="57"/>
      <c r="D185" s="58"/>
      <c r="E185" s="93"/>
      <c r="F185" s="60"/>
      <c r="G185" s="80"/>
      <c r="H185" s="61"/>
    </row>
    <row r="186" ht="15.75" customHeight="1">
      <c r="A186" s="56"/>
      <c r="B186" s="57"/>
      <c r="C186" s="57"/>
      <c r="D186" s="58"/>
      <c r="E186" s="93"/>
      <c r="F186" s="60"/>
      <c r="G186" s="80"/>
      <c r="H186" s="61"/>
    </row>
    <row r="187" ht="15.75" customHeight="1">
      <c r="A187" s="56"/>
      <c r="B187" s="57"/>
      <c r="C187" s="57"/>
      <c r="D187" s="58"/>
      <c r="E187" s="93"/>
      <c r="F187" s="60"/>
      <c r="G187" s="80"/>
      <c r="H187" s="61"/>
    </row>
    <row r="188" ht="15.75" customHeight="1">
      <c r="A188" s="56"/>
      <c r="B188" s="57"/>
      <c r="C188" s="57"/>
      <c r="D188" s="58"/>
      <c r="E188" s="93"/>
      <c r="F188" s="60"/>
      <c r="G188" s="80"/>
      <c r="H188" s="61"/>
    </row>
    <row r="189" ht="15.75" customHeight="1">
      <c r="A189" s="56"/>
      <c r="B189" s="57"/>
      <c r="C189" s="57"/>
      <c r="D189" s="58"/>
      <c r="E189" s="93"/>
      <c r="F189" s="60"/>
      <c r="G189" s="80"/>
      <c r="H189" s="61"/>
    </row>
    <row r="190" ht="15.75" customHeight="1">
      <c r="A190" s="56"/>
      <c r="B190" s="57"/>
      <c r="C190" s="57"/>
      <c r="D190" s="58"/>
      <c r="E190" s="93"/>
      <c r="F190" s="60"/>
      <c r="G190" s="80"/>
      <c r="H190" s="61"/>
    </row>
    <row r="191" ht="15.75" customHeight="1">
      <c r="A191" s="56"/>
      <c r="B191" s="57"/>
      <c r="C191" s="57"/>
      <c r="D191" s="58"/>
      <c r="E191" s="93"/>
      <c r="F191" s="60"/>
      <c r="G191" s="80"/>
      <c r="H191" s="61"/>
    </row>
    <row r="192" ht="15.75" customHeight="1">
      <c r="A192" s="56"/>
      <c r="B192" s="57"/>
      <c r="C192" s="57"/>
      <c r="D192" s="58"/>
      <c r="E192" s="93"/>
      <c r="F192" s="60"/>
      <c r="G192" s="80"/>
      <c r="H192" s="61"/>
    </row>
    <row r="193" ht="15.75" customHeight="1">
      <c r="A193" s="56"/>
      <c r="B193" s="57"/>
      <c r="C193" s="57"/>
      <c r="D193" s="58"/>
      <c r="E193" s="93"/>
      <c r="F193" s="60"/>
      <c r="G193" s="80"/>
      <c r="H193" s="61"/>
    </row>
    <row r="194" ht="15.75" customHeight="1">
      <c r="A194" s="56"/>
      <c r="B194" s="57"/>
      <c r="C194" s="57"/>
      <c r="D194" s="58"/>
      <c r="E194" s="93"/>
      <c r="F194" s="60"/>
      <c r="G194" s="80"/>
      <c r="H194" s="61"/>
    </row>
    <row r="195" ht="15.75" customHeight="1">
      <c r="A195" s="56"/>
      <c r="B195" s="57"/>
      <c r="C195" s="57"/>
      <c r="D195" s="58"/>
      <c r="E195" s="93"/>
      <c r="F195" s="60"/>
      <c r="G195" s="80"/>
      <c r="H195" s="61"/>
    </row>
    <row r="196" ht="15.75" customHeight="1">
      <c r="A196" s="56"/>
      <c r="B196" s="57"/>
      <c r="C196" s="57"/>
      <c r="D196" s="58"/>
      <c r="E196" s="93"/>
      <c r="F196" s="60"/>
      <c r="G196" s="80"/>
      <c r="H196" s="61"/>
    </row>
    <row r="197" ht="15.75" customHeight="1">
      <c r="A197" s="56"/>
      <c r="B197" s="57"/>
      <c r="C197" s="57"/>
      <c r="D197" s="58"/>
      <c r="E197" s="93"/>
      <c r="F197" s="60"/>
      <c r="G197" s="80"/>
      <c r="H197" s="61"/>
    </row>
    <row r="198" ht="15.75" customHeight="1">
      <c r="A198" s="56"/>
      <c r="B198" s="57"/>
      <c r="C198" s="57"/>
      <c r="D198" s="58"/>
      <c r="E198" s="93"/>
      <c r="F198" s="60"/>
      <c r="G198" s="80"/>
      <c r="H198" s="61"/>
    </row>
    <row r="199" ht="15.75" customHeight="1">
      <c r="A199" s="56"/>
      <c r="B199" s="57"/>
      <c r="C199" s="57"/>
      <c r="D199" s="58"/>
      <c r="E199" s="93"/>
      <c r="F199" s="60"/>
      <c r="G199" s="80"/>
      <c r="H199" s="61"/>
    </row>
    <row r="200" ht="15.75" customHeight="1">
      <c r="A200" s="56"/>
      <c r="B200" s="57"/>
      <c r="C200" s="57"/>
      <c r="D200" s="58"/>
      <c r="E200" s="93"/>
      <c r="F200" s="60"/>
      <c r="G200" s="80"/>
      <c r="H200" s="61"/>
    </row>
    <row r="201" ht="15.75" customHeight="1">
      <c r="A201" s="56"/>
      <c r="B201" s="57"/>
      <c r="C201" s="57"/>
      <c r="D201" s="58"/>
      <c r="E201" s="93"/>
      <c r="F201" s="60"/>
      <c r="G201" s="80"/>
      <c r="H201" s="61"/>
    </row>
    <row r="202" ht="15.75" customHeight="1">
      <c r="A202" s="56"/>
      <c r="B202" s="57"/>
      <c r="C202" s="57"/>
      <c r="D202" s="58"/>
      <c r="E202" s="93"/>
      <c r="F202" s="60"/>
      <c r="G202" s="80"/>
      <c r="H202" s="61"/>
    </row>
    <row r="203" ht="15.75" customHeight="1">
      <c r="A203" s="56"/>
      <c r="B203" s="57"/>
      <c r="C203" s="57"/>
      <c r="D203" s="58"/>
      <c r="E203" s="93"/>
      <c r="F203" s="60"/>
      <c r="G203" s="80"/>
      <c r="H203" s="61"/>
    </row>
    <row r="204" ht="15.75" customHeight="1">
      <c r="A204" s="56"/>
      <c r="B204" s="57"/>
      <c r="C204" s="57"/>
      <c r="D204" s="58"/>
      <c r="E204" s="93"/>
      <c r="F204" s="60"/>
      <c r="G204" s="80"/>
      <c r="H204" s="61"/>
    </row>
    <row r="205" ht="15.75" customHeight="1">
      <c r="A205" s="56"/>
      <c r="B205" s="57"/>
      <c r="C205" s="57"/>
      <c r="D205" s="58"/>
      <c r="E205" s="93"/>
      <c r="F205" s="60"/>
      <c r="G205" s="80"/>
      <c r="H205" s="61"/>
    </row>
    <row r="206" ht="15.75" customHeight="1">
      <c r="A206" s="56"/>
      <c r="B206" s="57"/>
      <c r="C206" s="57"/>
      <c r="D206" s="58"/>
      <c r="E206" s="93"/>
      <c r="F206" s="60"/>
      <c r="G206" s="80"/>
      <c r="H206" s="61"/>
    </row>
    <row r="207" ht="15.75" customHeight="1">
      <c r="A207" s="56"/>
      <c r="B207" s="57"/>
      <c r="C207" s="57"/>
      <c r="D207" s="58"/>
      <c r="E207" s="93"/>
      <c r="F207" s="60"/>
      <c r="G207" s="80"/>
      <c r="H207" s="61"/>
    </row>
    <row r="208" ht="15.75" customHeight="1">
      <c r="A208" s="56"/>
      <c r="B208" s="57"/>
      <c r="C208" s="57"/>
      <c r="D208" s="58"/>
      <c r="E208" s="93"/>
      <c r="F208" s="60"/>
      <c r="G208" s="80"/>
      <c r="H208" s="61"/>
    </row>
    <row r="209" ht="15.75" customHeight="1">
      <c r="A209" s="56"/>
      <c r="B209" s="57"/>
      <c r="C209" s="57"/>
      <c r="D209" s="58"/>
      <c r="E209" s="93"/>
      <c r="F209" s="60"/>
      <c r="G209" s="80"/>
      <c r="H209" s="61"/>
    </row>
    <row r="210" ht="15.75" customHeight="1">
      <c r="A210" s="56"/>
      <c r="B210" s="57"/>
      <c r="C210" s="57"/>
      <c r="D210" s="58"/>
      <c r="E210" s="93"/>
      <c r="F210" s="60"/>
      <c r="G210" s="80"/>
      <c r="H210" s="61"/>
    </row>
    <row r="211" ht="15.75" customHeight="1">
      <c r="A211" s="56"/>
      <c r="B211" s="57"/>
      <c r="C211" s="57"/>
      <c r="D211" s="58"/>
      <c r="E211" s="93"/>
      <c r="F211" s="60"/>
      <c r="G211" s="80"/>
      <c r="H211" s="61"/>
    </row>
    <row r="212" ht="15.75" customHeight="1">
      <c r="A212" s="56"/>
      <c r="B212" s="57"/>
      <c r="C212" s="57"/>
      <c r="D212" s="58"/>
      <c r="E212" s="93"/>
      <c r="F212" s="60"/>
      <c r="G212" s="80"/>
      <c r="H212" s="61"/>
    </row>
    <row r="213" ht="15.75" customHeight="1">
      <c r="A213" s="56"/>
      <c r="B213" s="57"/>
      <c r="C213" s="57"/>
      <c r="D213" s="58"/>
      <c r="E213" s="93"/>
      <c r="F213" s="60"/>
      <c r="G213" s="80"/>
      <c r="H213" s="61"/>
    </row>
    <row r="214" ht="15.75" customHeight="1">
      <c r="A214" s="56"/>
      <c r="B214" s="57"/>
      <c r="C214" s="57"/>
      <c r="D214" s="58"/>
      <c r="E214" s="93"/>
      <c r="F214" s="60"/>
      <c r="G214" s="80"/>
      <c r="H214" s="61"/>
    </row>
    <row r="215" ht="15.75" customHeight="1">
      <c r="A215" s="56"/>
      <c r="B215" s="57"/>
      <c r="C215" s="57"/>
      <c r="D215" s="58"/>
      <c r="E215" s="93"/>
      <c r="F215" s="60"/>
      <c r="G215" s="80"/>
      <c r="H215" s="61"/>
    </row>
    <row r="216" ht="15.75" customHeight="1">
      <c r="A216" s="56"/>
      <c r="B216" s="57"/>
      <c r="C216" s="57"/>
      <c r="D216" s="58"/>
      <c r="E216" s="93"/>
      <c r="F216" s="60"/>
      <c r="G216" s="80"/>
      <c r="H216" s="61"/>
    </row>
    <row r="217" ht="15.75" customHeight="1">
      <c r="A217" s="56"/>
      <c r="B217" s="57"/>
      <c r="C217" s="57"/>
      <c r="D217" s="58"/>
      <c r="E217" s="93"/>
      <c r="F217" s="60"/>
      <c r="G217" s="80"/>
      <c r="H217" s="61"/>
    </row>
    <row r="218" ht="15.75" customHeight="1">
      <c r="A218" s="56"/>
      <c r="B218" s="57"/>
      <c r="C218" s="57"/>
      <c r="D218" s="58"/>
      <c r="E218" s="93"/>
      <c r="F218" s="60"/>
      <c r="G218" s="80"/>
      <c r="H218" s="61"/>
    </row>
    <row r="219" ht="15.75" customHeight="1">
      <c r="A219" s="56"/>
      <c r="B219" s="57"/>
      <c r="C219" s="57"/>
      <c r="D219" s="58"/>
      <c r="E219" s="93"/>
      <c r="F219" s="60"/>
      <c r="G219" s="80"/>
      <c r="H219" s="61"/>
    </row>
    <row r="220" ht="15.75" customHeight="1">
      <c r="A220" s="56"/>
      <c r="B220" s="57"/>
      <c r="C220" s="57"/>
      <c r="D220" s="58"/>
      <c r="E220" s="93"/>
      <c r="F220" s="60"/>
      <c r="G220" s="80"/>
      <c r="H220" s="61"/>
    </row>
    <row r="221" ht="15.75" customHeight="1">
      <c r="A221" s="56"/>
      <c r="B221" s="57"/>
      <c r="C221" s="57"/>
      <c r="D221" s="58"/>
      <c r="E221" s="93"/>
      <c r="F221" s="60"/>
      <c r="G221" s="80"/>
      <c r="H221" s="61"/>
    </row>
    <row r="222" ht="15.75" customHeight="1">
      <c r="A222" s="56"/>
      <c r="B222" s="57"/>
      <c r="C222" s="57"/>
      <c r="D222" s="58"/>
      <c r="E222" s="93"/>
      <c r="F222" s="60"/>
      <c r="G222" s="80"/>
      <c r="H222" s="61"/>
    </row>
    <row r="223" ht="15.75" customHeight="1">
      <c r="A223" s="56"/>
      <c r="B223" s="57"/>
      <c r="C223" s="57"/>
      <c r="D223" s="58"/>
      <c r="E223" s="93"/>
      <c r="F223" s="60"/>
      <c r="G223" s="80"/>
      <c r="H223" s="61"/>
    </row>
    <row r="224" ht="15.75" customHeight="1">
      <c r="A224" s="56"/>
      <c r="B224" s="57"/>
      <c r="C224" s="57"/>
      <c r="D224" s="58"/>
      <c r="E224" s="93"/>
      <c r="F224" s="60"/>
      <c r="G224" s="80"/>
      <c r="H224" s="61"/>
    </row>
    <row r="225" ht="15.75" customHeight="1">
      <c r="A225" s="56"/>
      <c r="B225" s="57"/>
      <c r="C225" s="57"/>
      <c r="D225" s="58"/>
      <c r="E225" s="93"/>
      <c r="F225" s="60"/>
      <c r="G225" s="80"/>
      <c r="H225" s="61"/>
    </row>
    <row r="226" ht="15.75" customHeight="1">
      <c r="A226" s="56"/>
      <c r="B226" s="57"/>
      <c r="C226" s="57"/>
      <c r="D226" s="58"/>
      <c r="E226" s="93"/>
      <c r="F226" s="60"/>
      <c r="G226" s="80"/>
      <c r="H226" s="61"/>
    </row>
    <row r="227" ht="15.75" customHeight="1">
      <c r="A227" s="56"/>
      <c r="B227" s="57"/>
      <c r="C227" s="57"/>
      <c r="D227" s="58"/>
      <c r="E227" s="93"/>
      <c r="F227" s="60"/>
      <c r="G227" s="80"/>
      <c r="H227" s="61"/>
    </row>
    <row r="228" ht="15.75" customHeight="1">
      <c r="A228" s="56"/>
      <c r="B228" s="57"/>
      <c r="C228" s="57"/>
      <c r="D228" s="58"/>
      <c r="E228" s="93"/>
      <c r="F228" s="60"/>
      <c r="G228" s="80"/>
      <c r="H228" s="61"/>
    </row>
    <row r="229" ht="15.75" customHeight="1">
      <c r="A229" s="56"/>
      <c r="B229" s="57"/>
      <c r="C229" s="57"/>
      <c r="D229" s="58"/>
      <c r="E229" s="93"/>
      <c r="F229" s="60"/>
      <c r="G229" s="80"/>
      <c r="H229" s="61"/>
    </row>
    <row r="230" ht="15.75" customHeight="1">
      <c r="A230" s="56"/>
      <c r="B230" s="57"/>
      <c r="C230" s="57"/>
      <c r="D230" s="58"/>
      <c r="E230" s="93"/>
      <c r="F230" s="60"/>
      <c r="G230" s="80"/>
      <c r="H230" s="61"/>
    </row>
    <row r="231" ht="15.75" customHeight="1">
      <c r="A231" s="56"/>
      <c r="B231" s="57"/>
      <c r="C231" s="57"/>
      <c r="D231" s="58"/>
      <c r="E231" s="93"/>
      <c r="F231" s="60"/>
      <c r="G231" s="80"/>
      <c r="H231" s="61"/>
    </row>
    <row r="232" ht="15.75" customHeight="1">
      <c r="A232" s="56"/>
      <c r="B232" s="57"/>
      <c r="C232" s="57"/>
      <c r="D232" s="58"/>
      <c r="E232" s="93"/>
      <c r="F232" s="60"/>
      <c r="G232" s="80"/>
      <c r="H232" s="61"/>
    </row>
    <row r="233" ht="15.75" customHeight="1">
      <c r="A233" s="56"/>
      <c r="B233" s="57"/>
      <c r="C233" s="57"/>
      <c r="D233" s="58"/>
      <c r="E233" s="93"/>
      <c r="F233" s="60"/>
      <c r="G233" s="80"/>
      <c r="H233" s="61"/>
    </row>
    <row r="234" ht="15.75" customHeight="1">
      <c r="A234" s="56"/>
      <c r="B234" s="57"/>
      <c r="C234" s="57"/>
      <c r="D234" s="58"/>
      <c r="E234" s="93"/>
      <c r="F234" s="60"/>
      <c r="G234" s="80"/>
      <c r="H234" s="61"/>
    </row>
    <row r="235" ht="15.75" customHeight="1">
      <c r="A235" s="56"/>
      <c r="B235" s="57"/>
      <c r="C235" s="57"/>
      <c r="D235" s="58"/>
      <c r="E235" s="93"/>
      <c r="F235" s="60"/>
      <c r="G235" s="80"/>
      <c r="H235" s="61"/>
    </row>
    <row r="236" ht="15.75" customHeight="1">
      <c r="A236" s="56"/>
      <c r="B236" s="57"/>
      <c r="C236" s="57"/>
      <c r="D236" s="58"/>
      <c r="E236" s="93"/>
      <c r="F236" s="60"/>
      <c r="G236" s="80"/>
      <c r="H236" s="61"/>
    </row>
    <row r="237" ht="15.75" customHeight="1">
      <c r="A237" s="56"/>
      <c r="B237" s="57"/>
      <c r="C237" s="57"/>
      <c r="D237" s="58"/>
      <c r="E237" s="93"/>
      <c r="F237" s="60"/>
      <c r="G237" s="80"/>
      <c r="H237" s="61"/>
    </row>
    <row r="238" ht="15.75" customHeight="1">
      <c r="A238" s="56"/>
      <c r="B238" s="57"/>
      <c r="C238" s="57"/>
      <c r="D238" s="58"/>
      <c r="E238" s="93"/>
      <c r="F238" s="60"/>
      <c r="G238" s="80"/>
      <c r="H238" s="61"/>
    </row>
    <row r="239" ht="15.75" customHeight="1">
      <c r="A239" s="56"/>
      <c r="B239" s="57"/>
      <c r="C239" s="57"/>
      <c r="D239" s="58"/>
      <c r="E239" s="93"/>
      <c r="F239" s="60"/>
      <c r="G239" s="80"/>
      <c r="H239" s="61"/>
    </row>
    <row r="240" ht="15.75" customHeight="1">
      <c r="A240" s="56"/>
      <c r="B240" s="57"/>
      <c r="C240" s="57"/>
      <c r="D240" s="58"/>
      <c r="E240" s="93"/>
      <c r="F240" s="60"/>
      <c r="G240" s="80"/>
      <c r="H240" s="61"/>
    </row>
    <row r="241" ht="15.75" customHeight="1">
      <c r="A241" s="56"/>
      <c r="B241" s="57"/>
      <c r="C241" s="57"/>
      <c r="D241" s="58"/>
      <c r="E241" s="93"/>
      <c r="F241" s="60"/>
      <c r="G241" s="80"/>
      <c r="H241" s="61"/>
    </row>
    <row r="242" ht="15.75" customHeight="1">
      <c r="A242" s="56"/>
      <c r="B242" s="57"/>
      <c r="C242" s="57"/>
      <c r="D242" s="58"/>
      <c r="E242" s="93"/>
      <c r="F242" s="60"/>
      <c r="G242" s="80"/>
      <c r="H242" s="61"/>
    </row>
    <row r="243" ht="15.75" customHeight="1">
      <c r="A243" s="56"/>
      <c r="B243" s="57"/>
      <c r="C243" s="57"/>
      <c r="D243" s="58"/>
      <c r="E243" s="93"/>
      <c r="F243" s="60"/>
      <c r="G243" s="80"/>
      <c r="H243" s="61"/>
    </row>
    <row r="244" ht="15.75" customHeight="1">
      <c r="A244" s="56"/>
      <c r="B244" s="57"/>
      <c r="C244" s="57"/>
      <c r="D244" s="58"/>
      <c r="E244" s="93"/>
      <c r="F244" s="60"/>
      <c r="G244" s="80"/>
      <c r="H244" s="61"/>
    </row>
    <row r="245" ht="15.75" customHeight="1">
      <c r="A245" s="56"/>
      <c r="B245" s="57"/>
      <c r="C245" s="57"/>
      <c r="D245" s="58"/>
      <c r="E245" s="93"/>
      <c r="F245" s="60"/>
      <c r="G245" s="80"/>
      <c r="H245" s="61"/>
    </row>
    <row r="246" ht="15.75" customHeight="1">
      <c r="A246" s="56"/>
      <c r="B246" s="57"/>
      <c r="C246" s="57"/>
      <c r="D246" s="58"/>
      <c r="E246" s="93"/>
      <c r="F246" s="60"/>
      <c r="G246" s="80"/>
      <c r="H246" s="61"/>
    </row>
    <row r="247" ht="15.75" customHeight="1">
      <c r="A247" s="56"/>
      <c r="B247" s="57"/>
      <c r="C247" s="57"/>
      <c r="D247" s="58"/>
      <c r="E247" s="93"/>
      <c r="F247" s="60"/>
      <c r="G247" s="80"/>
      <c r="H247" s="61"/>
    </row>
    <row r="248" ht="15.75" customHeight="1">
      <c r="A248" s="56"/>
      <c r="B248" s="57"/>
      <c r="C248" s="57"/>
      <c r="D248" s="58"/>
      <c r="E248" s="93"/>
      <c r="F248" s="60"/>
      <c r="G248" s="80"/>
      <c r="H248" s="61"/>
    </row>
    <row r="249" ht="15.75" customHeight="1">
      <c r="A249" s="56"/>
      <c r="B249" s="57"/>
      <c r="C249" s="57"/>
      <c r="D249" s="58"/>
      <c r="E249" s="93"/>
      <c r="F249" s="60"/>
      <c r="G249" s="80"/>
      <c r="H249" s="61"/>
    </row>
    <row r="250" ht="15.75" customHeight="1">
      <c r="A250" s="56"/>
      <c r="B250" s="57"/>
      <c r="C250" s="57"/>
      <c r="D250" s="58"/>
      <c r="E250" s="93"/>
      <c r="F250" s="60"/>
      <c r="G250" s="80"/>
      <c r="H250" s="6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J$50">
    <sortState ref="A5:J50">
      <sortCondition ref="D5:D50"/>
      <sortCondition ref="A5:A50"/>
      <sortCondition ref="C5:C50"/>
    </sortState>
  </autoFilter>
  <mergeCells count="8">
    <mergeCell ref="A1:A4"/>
    <mergeCell ref="B1:B4"/>
    <mergeCell ref="I1:J1"/>
    <mergeCell ref="I2:J2"/>
    <mergeCell ref="C3:H3"/>
    <mergeCell ref="I3:J4"/>
    <mergeCell ref="C4:D4"/>
    <mergeCell ref="F4:G4"/>
  </mergeCells>
  <conditionalFormatting sqref="A6:A53 B47:B53">
    <cfRule type="cellIs" dxfId="0" priority="1" operator="equal">
      <formula>"ARMA"</formula>
    </cfRule>
  </conditionalFormatting>
  <conditionalFormatting sqref="A6:A53 B47:B53">
    <cfRule type="cellIs" dxfId="1" priority="2" operator="equal">
      <formula>"MUNIÇÃO"</formula>
    </cfRule>
  </conditionalFormatting>
  <conditionalFormatting sqref="A6:A53 B47:B53">
    <cfRule type="cellIs" dxfId="2" priority="3" operator="equal">
      <formula>"BASEADO"</formula>
    </cfRule>
  </conditionalFormatting>
  <conditionalFormatting sqref="A6:A53 B47:B53">
    <cfRule type="cellIs" dxfId="3" priority="4" operator="equal">
      <formula>"COCAINA"</formula>
    </cfRule>
  </conditionalFormatting>
  <conditionalFormatting sqref="A6:A53 B47:B53">
    <cfRule type="cellIs" dxfId="4" priority="5" operator="equal">
      <formula>"DESMANCHE"</formula>
    </cfRule>
  </conditionalFormatting>
  <conditionalFormatting sqref="A6:A53 B47:B53">
    <cfRule type="cellIs" dxfId="5" priority="6" operator="equal">
      <formula>"LAVAGEM"</formula>
    </cfRule>
  </conditionalFormatting>
  <dataValidations>
    <dataValidation type="list" allowBlank="1" showErrorMessage="1" sqref="G6:G50">
      <formula1>"ENTREGUE,LIVRE,RESERVADO,AGUARDANDO,COMERCIAL"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12.63"/>
    <col customWidth="1" min="3" max="3" width="15.5"/>
    <col customWidth="1" min="4" max="4" width="12.38"/>
    <col customWidth="1" min="5" max="5" width="13.25"/>
    <col customWidth="1" min="6" max="6" width="48.63"/>
  </cols>
  <sheetData>
    <row r="1" ht="15.75" customHeight="1">
      <c r="A1" s="94" t="s">
        <v>437</v>
      </c>
      <c r="B1" s="94" t="s">
        <v>310</v>
      </c>
      <c r="C1" s="94" t="s">
        <v>438</v>
      </c>
      <c r="D1" s="95" t="s">
        <v>439</v>
      </c>
      <c r="E1" s="95" t="s">
        <v>440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ht="15.75" customHeight="1">
      <c r="A2" s="77" t="s">
        <v>313</v>
      </c>
      <c r="B2" s="78" t="s">
        <v>314</v>
      </c>
      <c r="C2" s="22" t="s">
        <v>316</v>
      </c>
      <c r="D2" s="22" t="s">
        <v>316</v>
      </c>
      <c r="E2" s="96" t="s">
        <v>316</v>
      </c>
    </row>
    <row r="3" ht="15.75" customHeight="1">
      <c r="A3" s="77" t="s">
        <v>318</v>
      </c>
      <c r="B3" s="78" t="s">
        <v>319</v>
      </c>
      <c r="C3" s="83" t="s">
        <v>320</v>
      </c>
      <c r="D3" s="83" t="s">
        <v>320</v>
      </c>
      <c r="E3" s="97" t="s">
        <v>320</v>
      </c>
    </row>
    <row r="4" ht="15.75" customHeight="1">
      <c r="A4" s="77" t="s">
        <v>321</v>
      </c>
      <c r="B4" s="78" t="s">
        <v>322</v>
      </c>
      <c r="C4" s="83" t="s">
        <v>323</v>
      </c>
      <c r="D4" s="83" t="s">
        <v>323</v>
      </c>
      <c r="E4" s="98" t="s">
        <v>323</v>
      </c>
    </row>
    <row r="5" ht="15.75" customHeight="1">
      <c r="A5" s="77" t="s">
        <v>147</v>
      </c>
      <c r="B5" s="78" t="s">
        <v>324</v>
      </c>
      <c r="C5" s="83" t="s">
        <v>325</v>
      </c>
      <c r="D5" s="83" t="s">
        <v>325</v>
      </c>
      <c r="E5" s="98" t="s">
        <v>325</v>
      </c>
    </row>
    <row r="6" ht="15.75" customHeight="1">
      <c r="A6" s="77" t="s">
        <v>441</v>
      </c>
      <c r="B6" s="78" t="s">
        <v>327</v>
      </c>
      <c r="C6" s="99">
        <v>41619.0</v>
      </c>
      <c r="D6" s="98" t="s">
        <v>328</v>
      </c>
      <c r="E6" s="98" t="s">
        <v>328</v>
      </c>
    </row>
    <row r="7" ht="15.75" customHeight="1">
      <c r="A7" s="77" t="s">
        <v>81</v>
      </c>
      <c r="B7" s="78" t="s">
        <v>329</v>
      </c>
      <c r="C7" s="83" t="s">
        <v>330</v>
      </c>
      <c r="D7" s="83" t="s">
        <v>330</v>
      </c>
      <c r="E7" s="98" t="s">
        <v>330</v>
      </c>
    </row>
    <row r="8" ht="15.75" customHeight="1">
      <c r="A8" s="86" t="s">
        <v>209</v>
      </c>
      <c r="B8" s="78" t="s">
        <v>331</v>
      </c>
      <c r="C8" s="98" t="s">
        <v>316</v>
      </c>
      <c r="D8" s="98" t="s">
        <v>332</v>
      </c>
      <c r="E8" s="98" t="s">
        <v>332</v>
      </c>
    </row>
    <row r="9" ht="15.75" customHeight="1">
      <c r="A9" s="77" t="s">
        <v>286</v>
      </c>
      <c r="B9" s="78" t="s">
        <v>333</v>
      </c>
      <c r="C9" s="83" t="s">
        <v>334</v>
      </c>
      <c r="D9" s="83" t="s">
        <v>334</v>
      </c>
      <c r="E9" s="98" t="s">
        <v>334</v>
      </c>
    </row>
    <row r="10" ht="15.75" customHeight="1">
      <c r="A10" s="77" t="s">
        <v>269</v>
      </c>
      <c r="B10" s="78" t="s">
        <v>335</v>
      </c>
      <c r="C10" s="83" t="s">
        <v>336</v>
      </c>
      <c r="D10" s="83" t="s">
        <v>336</v>
      </c>
      <c r="E10" s="98" t="s">
        <v>336</v>
      </c>
    </row>
    <row r="11" ht="15.75" customHeight="1">
      <c r="A11" s="77" t="s">
        <v>337</v>
      </c>
      <c r="B11" s="78" t="s">
        <v>338</v>
      </c>
      <c r="C11" s="83" t="s">
        <v>339</v>
      </c>
      <c r="D11" s="83" t="s">
        <v>339</v>
      </c>
      <c r="E11" s="98" t="s">
        <v>339</v>
      </c>
    </row>
    <row r="12" ht="15.75" customHeight="1">
      <c r="A12" s="77" t="s">
        <v>282</v>
      </c>
      <c r="B12" s="78" t="s">
        <v>340</v>
      </c>
      <c r="C12" s="83" t="s">
        <v>342</v>
      </c>
      <c r="D12" s="83" t="s">
        <v>342</v>
      </c>
      <c r="E12" s="98" t="s">
        <v>342</v>
      </c>
    </row>
    <row r="13" ht="15.75" customHeight="1">
      <c r="A13" s="88" t="s">
        <v>344</v>
      </c>
      <c r="B13" s="78" t="s">
        <v>345</v>
      </c>
      <c r="C13" s="83" t="s">
        <v>346</v>
      </c>
      <c r="D13" s="83" t="s">
        <v>346</v>
      </c>
      <c r="E13" s="98" t="s">
        <v>346</v>
      </c>
    </row>
    <row r="14" ht="15.75" customHeight="1">
      <c r="A14" s="77" t="s">
        <v>257</v>
      </c>
      <c r="B14" s="78" t="s">
        <v>347</v>
      </c>
      <c r="C14" s="83" t="s">
        <v>348</v>
      </c>
      <c r="D14" s="83" t="s">
        <v>348</v>
      </c>
      <c r="E14" s="98" t="s">
        <v>348</v>
      </c>
    </row>
    <row r="15" ht="15.75" customHeight="1">
      <c r="A15" s="77" t="s">
        <v>278</v>
      </c>
      <c r="B15" s="78" t="s">
        <v>349</v>
      </c>
      <c r="C15" s="83" t="s">
        <v>350</v>
      </c>
      <c r="D15" s="83" t="s">
        <v>350</v>
      </c>
      <c r="E15" s="98" t="s">
        <v>350</v>
      </c>
    </row>
    <row r="16" ht="15.75" customHeight="1">
      <c r="A16" s="77" t="s">
        <v>352</v>
      </c>
      <c r="B16" s="78" t="s">
        <v>353</v>
      </c>
      <c r="C16" s="83" t="s">
        <v>355</v>
      </c>
      <c r="D16" s="83" t="s">
        <v>355</v>
      </c>
      <c r="E16" s="98" t="s">
        <v>355</v>
      </c>
    </row>
    <row r="17" ht="15.75" customHeight="1">
      <c r="A17" s="77" t="s">
        <v>356</v>
      </c>
      <c r="B17" s="78" t="s">
        <v>357</v>
      </c>
      <c r="C17" s="98" t="s">
        <v>425</v>
      </c>
      <c r="D17" s="98" t="s">
        <v>359</v>
      </c>
      <c r="E17" s="98" t="s">
        <v>359</v>
      </c>
    </row>
    <row r="18" ht="15.75" customHeight="1">
      <c r="A18" s="100" t="s">
        <v>360</v>
      </c>
      <c r="B18" s="78" t="s">
        <v>361</v>
      </c>
      <c r="C18" s="83" t="s">
        <v>362</v>
      </c>
      <c r="D18" s="83" t="s">
        <v>362</v>
      </c>
      <c r="E18" s="98" t="s">
        <v>362</v>
      </c>
    </row>
    <row r="19" ht="15.75" customHeight="1">
      <c r="A19" s="77" t="s">
        <v>364</v>
      </c>
      <c r="B19" s="78" t="s">
        <v>365</v>
      </c>
      <c r="C19" s="83" t="s">
        <v>367</v>
      </c>
      <c r="D19" s="83" t="s">
        <v>367</v>
      </c>
      <c r="E19" s="98" t="s">
        <v>367</v>
      </c>
    </row>
    <row r="20" ht="15.75" customHeight="1">
      <c r="A20" s="77" t="s">
        <v>326</v>
      </c>
      <c r="B20" s="78" t="s">
        <v>369</v>
      </c>
      <c r="C20" s="98" t="s">
        <v>442</v>
      </c>
      <c r="D20" s="98" t="s">
        <v>371</v>
      </c>
      <c r="E20" s="98" t="s">
        <v>371</v>
      </c>
    </row>
    <row r="21" ht="15.75" customHeight="1">
      <c r="A21" s="77" t="s">
        <v>372</v>
      </c>
      <c r="B21" s="78" t="s">
        <v>373</v>
      </c>
      <c r="C21" s="83" t="s">
        <v>374</v>
      </c>
      <c r="D21" s="83" t="s">
        <v>374</v>
      </c>
      <c r="E21" s="98" t="s">
        <v>374</v>
      </c>
    </row>
    <row r="22" ht="15.75" customHeight="1">
      <c r="A22" s="77" t="s">
        <v>375</v>
      </c>
      <c r="B22" s="78" t="s">
        <v>376</v>
      </c>
      <c r="C22" s="98" t="s">
        <v>346</v>
      </c>
      <c r="D22" s="98" t="s">
        <v>377</v>
      </c>
      <c r="E22" s="98" t="s">
        <v>377</v>
      </c>
    </row>
    <row r="23" ht="15.75" customHeight="1">
      <c r="A23" s="100" t="s">
        <v>378</v>
      </c>
      <c r="B23" s="78" t="s">
        <v>379</v>
      </c>
      <c r="C23" s="83" t="s">
        <v>380</v>
      </c>
      <c r="D23" s="83" t="s">
        <v>380</v>
      </c>
      <c r="E23" s="98" t="s">
        <v>380</v>
      </c>
    </row>
    <row r="24" ht="15.75" customHeight="1">
      <c r="A24" s="100" t="s">
        <v>381</v>
      </c>
      <c r="B24" s="78" t="s">
        <v>382</v>
      </c>
      <c r="C24" s="83" t="s">
        <v>383</v>
      </c>
      <c r="D24" s="83" t="s">
        <v>383</v>
      </c>
      <c r="E24" s="98" t="s">
        <v>383</v>
      </c>
    </row>
    <row r="25" ht="15.75" customHeight="1">
      <c r="A25" s="77" t="s">
        <v>167</v>
      </c>
      <c r="B25" s="78" t="s">
        <v>384</v>
      </c>
      <c r="C25" s="83" t="s">
        <v>386</v>
      </c>
      <c r="D25" s="83" t="s">
        <v>386</v>
      </c>
      <c r="E25" s="98" t="s">
        <v>386</v>
      </c>
    </row>
    <row r="26" ht="15.75" customHeight="1">
      <c r="A26" s="77" t="s">
        <v>387</v>
      </c>
      <c r="B26" s="78" t="s">
        <v>388</v>
      </c>
      <c r="C26" s="83" t="s">
        <v>389</v>
      </c>
      <c r="D26" s="83" t="s">
        <v>389</v>
      </c>
      <c r="E26" s="98" t="s">
        <v>389</v>
      </c>
    </row>
    <row r="27" ht="15.75" customHeight="1">
      <c r="A27" s="88" t="s">
        <v>129</v>
      </c>
      <c r="B27" s="78" t="s">
        <v>390</v>
      </c>
      <c r="C27" s="83" t="s">
        <v>391</v>
      </c>
      <c r="D27" s="83" t="s">
        <v>391</v>
      </c>
      <c r="E27" s="98" t="s">
        <v>391</v>
      </c>
    </row>
    <row r="28" ht="15.75" customHeight="1">
      <c r="A28" s="77" t="s">
        <v>195</v>
      </c>
      <c r="B28" s="78" t="s">
        <v>392</v>
      </c>
      <c r="C28" s="83" t="s">
        <v>393</v>
      </c>
      <c r="D28" s="83" t="s">
        <v>393</v>
      </c>
      <c r="E28" s="98" t="s">
        <v>393</v>
      </c>
    </row>
    <row r="29" ht="15.75" customHeight="1">
      <c r="A29" s="77" t="s">
        <v>394</v>
      </c>
      <c r="B29" s="78" t="s">
        <v>395</v>
      </c>
      <c r="C29" s="83" t="s">
        <v>396</v>
      </c>
      <c r="D29" s="83" t="s">
        <v>396</v>
      </c>
      <c r="E29" s="98" t="s">
        <v>396</v>
      </c>
    </row>
    <row r="30" ht="15.75" customHeight="1">
      <c r="A30" s="77" t="s">
        <v>397</v>
      </c>
      <c r="B30" s="78" t="s">
        <v>398</v>
      </c>
      <c r="C30" s="83" t="s">
        <v>399</v>
      </c>
      <c r="D30" s="83" t="s">
        <v>399</v>
      </c>
      <c r="E30" s="98" t="s">
        <v>399</v>
      </c>
    </row>
    <row r="31" ht="15.75" customHeight="1">
      <c r="A31" s="77" t="s">
        <v>400</v>
      </c>
      <c r="B31" s="78" t="s">
        <v>401</v>
      </c>
      <c r="C31" s="83" t="s">
        <v>403</v>
      </c>
      <c r="D31" s="83" t="s">
        <v>403</v>
      </c>
      <c r="E31" s="98" t="s">
        <v>403</v>
      </c>
    </row>
    <row r="32" ht="15.75" customHeight="1">
      <c r="A32" s="77" t="s">
        <v>404</v>
      </c>
      <c r="B32" s="78" t="s">
        <v>405</v>
      </c>
      <c r="C32" s="83" t="s">
        <v>406</v>
      </c>
      <c r="D32" s="83" t="s">
        <v>406</v>
      </c>
      <c r="E32" s="98" t="s">
        <v>406</v>
      </c>
    </row>
    <row r="33" ht="15.75" customHeight="1">
      <c r="A33" s="77" t="s">
        <v>172</v>
      </c>
      <c r="B33" s="78" t="s">
        <v>407</v>
      </c>
      <c r="C33" s="83" t="s">
        <v>408</v>
      </c>
      <c r="D33" s="83" t="s">
        <v>408</v>
      </c>
      <c r="E33" s="98" t="s">
        <v>408</v>
      </c>
    </row>
    <row r="34" ht="15.75" customHeight="1">
      <c r="A34" s="77" t="s">
        <v>409</v>
      </c>
      <c r="B34" s="78" t="s">
        <v>410</v>
      </c>
      <c r="C34" s="83" t="s">
        <v>411</v>
      </c>
      <c r="D34" s="83" t="s">
        <v>411</v>
      </c>
      <c r="E34" s="98" t="s">
        <v>411</v>
      </c>
    </row>
    <row r="35" ht="15.75" customHeight="1">
      <c r="A35" s="77" t="s">
        <v>412</v>
      </c>
      <c r="B35" s="78" t="s">
        <v>413</v>
      </c>
      <c r="C35" s="89">
        <v>370371.272</v>
      </c>
      <c r="D35" s="89">
        <v>370371.272</v>
      </c>
      <c r="E35" s="101">
        <v>370371.272</v>
      </c>
    </row>
    <row r="36" ht="15.75" customHeight="1">
      <c r="A36" s="77" t="s">
        <v>414</v>
      </c>
      <c r="B36" s="78" t="s">
        <v>415</v>
      </c>
      <c r="C36" s="83" t="s">
        <v>416</v>
      </c>
      <c r="D36" s="83" t="s">
        <v>416</v>
      </c>
      <c r="E36" s="98" t="s">
        <v>416</v>
      </c>
    </row>
    <row r="37" ht="15.75" customHeight="1">
      <c r="A37" s="90" t="s">
        <v>417</v>
      </c>
      <c r="B37" s="78" t="s">
        <v>418</v>
      </c>
      <c r="C37" s="98" t="s">
        <v>443</v>
      </c>
      <c r="D37" s="98" t="s">
        <v>419</v>
      </c>
      <c r="E37" s="98" t="s">
        <v>419</v>
      </c>
    </row>
    <row r="38" ht="15.75" customHeight="1">
      <c r="A38" s="77" t="s">
        <v>420</v>
      </c>
      <c r="B38" s="78" t="s">
        <v>421</v>
      </c>
      <c r="C38" s="83" t="s">
        <v>422</v>
      </c>
      <c r="D38" s="83" t="s">
        <v>422</v>
      </c>
      <c r="E38" s="98" t="s">
        <v>422</v>
      </c>
    </row>
    <row r="39" ht="15.75" customHeight="1">
      <c r="A39" s="77" t="s">
        <v>423</v>
      </c>
      <c r="B39" s="78" t="s">
        <v>424</v>
      </c>
      <c r="C39" s="98" t="s">
        <v>359</v>
      </c>
      <c r="D39" s="98" t="s">
        <v>425</v>
      </c>
      <c r="E39" s="98" t="s">
        <v>425</v>
      </c>
    </row>
    <row r="40" ht="15.75" customHeight="1">
      <c r="A40" s="102" t="s">
        <v>53</v>
      </c>
      <c r="B40" s="78" t="s">
        <v>426</v>
      </c>
      <c r="C40" s="83" t="s">
        <v>428</v>
      </c>
      <c r="D40" s="83" t="s">
        <v>428</v>
      </c>
      <c r="E40" s="98" t="s">
        <v>428</v>
      </c>
    </row>
    <row r="41" ht="15.75" customHeight="1">
      <c r="A41" s="77" t="s">
        <v>221</v>
      </c>
      <c r="B41" s="78" t="s">
        <v>429</v>
      </c>
      <c r="C41" s="83" t="s">
        <v>430</v>
      </c>
      <c r="D41" s="83" t="s">
        <v>430</v>
      </c>
      <c r="E41" s="98" t="s">
        <v>430</v>
      </c>
    </row>
    <row r="42" ht="15.75" customHeight="1">
      <c r="A42" s="77" t="s">
        <v>49</v>
      </c>
      <c r="B42" s="78" t="s">
        <v>431</v>
      </c>
      <c r="C42" s="83" t="s">
        <v>432</v>
      </c>
      <c r="D42" s="83" t="s">
        <v>432</v>
      </c>
      <c r="E42" s="98" t="s">
        <v>432</v>
      </c>
    </row>
    <row r="43" ht="15.75" customHeight="1">
      <c r="A43" s="46" t="s">
        <v>433</v>
      </c>
      <c r="B43" s="15" t="s">
        <v>434</v>
      </c>
      <c r="C43" s="17" t="s">
        <v>444</v>
      </c>
      <c r="D43" s="17" t="s">
        <v>444</v>
      </c>
      <c r="E43" s="96" t="s">
        <v>444</v>
      </c>
    </row>
    <row r="44" ht="15.75" customHeight="1">
      <c r="A44" s="46" t="s">
        <v>62</v>
      </c>
      <c r="B44" s="15" t="s">
        <v>436</v>
      </c>
      <c r="C44" s="22" t="s">
        <v>445</v>
      </c>
      <c r="D44" s="22" t="s">
        <v>445</v>
      </c>
      <c r="E44" s="96" t="s">
        <v>445</v>
      </c>
    </row>
    <row r="45" ht="15.75" customHeight="1">
      <c r="A45" s="103" t="s">
        <v>446</v>
      </c>
      <c r="B45" s="15" t="s">
        <v>447</v>
      </c>
      <c r="C45" s="22" t="s">
        <v>448</v>
      </c>
      <c r="D45" s="22" t="s">
        <v>448</v>
      </c>
      <c r="E45" s="22" t="s">
        <v>448</v>
      </c>
    </row>
    <row r="46" ht="15.75" customHeight="1">
      <c r="A46" s="46" t="s">
        <v>449</v>
      </c>
      <c r="B46" s="104" t="s">
        <v>450</v>
      </c>
      <c r="C46" s="22" t="s">
        <v>451</v>
      </c>
      <c r="D46" s="22" t="s">
        <v>451</v>
      </c>
      <c r="E46" s="22" t="s">
        <v>451</v>
      </c>
    </row>
    <row r="47" ht="15.75" customHeight="1">
      <c r="A47" s="46" t="s">
        <v>452</v>
      </c>
      <c r="B47" s="104" t="s">
        <v>453</v>
      </c>
      <c r="C47" s="105"/>
      <c r="D47" s="96" t="s">
        <v>454</v>
      </c>
      <c r="E47" s="96" t="s">
        <v>454</v>
      </c>
    </row>
    <row r="48" ht="15.75" customHeight="1">
      <c r="E48" s="80"/>
    </row>
    <row r="49" ht="15.75" customHeight="1">
      <c r="E49" s="80"/>
    </row>
    <row r="50" ht="15.75" customHeight="1">
      <c r="E50" s="80"/>
    </row>
    <row r="51" ht="15.75" customHeight="1">
      <c r="E51" s="80"/>
    </row>
    <row r="52" ht="15.75" customHeight="1">
      <c r="E52" s="80"/>
    </row>
    <row r="53" ht="15.75" customHeight="1">
      <c r="E53" s="80"/>
    </row>
    <row r="54" ht="15.75" customHeight="1">
      <c r="E54" s="80"/>
    </row>
    <row r="55" ht="15.75" customHeight="1">
      <c r="E55" s="80"/>
    </row>
    <row r="56" ht="15.75" customHeight="1">
      <c r="E56" s="80"/>
    </row>
    <row r="57" ht="15.75" customHeight="1">
      <c r="E57" s="80"/>
    </row>
    <row r="58" ht="15.75" customHeight="1">
      <c r="E58" s="80"/>
    </row>
    <row r="59" ht="15.75" customHeight="1">
      <c r="E59" s="80"/>
    </row>
    <row r="60" ht="15.75" customHeight="1">
      <c r="E60" s="80"/>
    </row>
    <row r="61" ht="15.75" customHeight="1">
      <c r="E61" s="80"/>
    </row>
    <row r="62" ht="15.75" customHeight="1">
      <c r="E62" s="80"/>
    </row>
    <row r="63" ht="15.75" customHeight="1">
      <c r="E63" s="80"/>
    </row>
    <row r="64" ht="15.75" customHeight="1">
      <c r="E64" s="80"/>
    </row>
    <row r="65" ht="15.75" customHeight="1">
      <c r="E65" s="80"/>
    </row>
    <row r="66" ht="15.75" customHeight="1">
      <c r="E66" s="80"/>
    </row>
    <row r="67" ht="15.75" customHeight="1">
      <c r="E67" s="80"/>
    </row>
    <row r="68" ht="15.75" customHeight="1">
      <c r="E68" s="80"/>
    </row>
    <row r="69" ht="15.75" customHeight="1">
      <c r="E69" s="80"/>
    </row>
    <row r="70" ht="15.75" customHeight="1">
      <c r="E70" s="80"/>
    </row>
    <row r="71" ht="15.75" customHeight="1">
      <c r="E71" s="80"/>
    </row>
    <row r="72" ht="15.75" customHeight="1">
      <c r="E72" s="80"/>
    </row>
    <row r="73" ht="15.75" customHeight="1">
      <c r="E73" s="80"/>
    </row>
    <row r="74" ht="15.75" customHeight="1">
      <c r="E74" s="80"/>
    </row>
    <row r="75" ht="15.75" customHeight="1">
      <c r="E75" s="80"/>
    </row>
    <row r="76" ht="15.75" customHeight="1">
      <c r="E76" s="80"/>
    </row>
    <row r="77" ht="15.75" customHeight="1">
      <c r="E77" s="80"/>
    </row>
    <row r="78" ht="15.75" customHeight="1">
      <c r="E78" s="80"/>
    </row>
    <row r="79" ht="15.75" customHeight="1">
      <c r="E79" s="80"/>
    </row>
    <row r="80" ht="15.75" customHeight="1">
      <c r="E80" s="80"/>
    </row>
    <row r="81" ht="15.75" customHeight="1">
      <c r="E81" s="80"/>
    </row>
    <row r="82" ht="15.75" customHeight="1">
      <c r="E82" s="80"/>
    </row>
    <row r="83" ht="15.75" customHeight="1">
      <c r="E83" s="80"/>
    </row>
    <row r="84" ht="15.75" customHeight="1">
      <c r="E84" s="80"/>
    </row>
    <row r="85" ht="15.75" customHeight="1">
      <c r="E85" s="80"/>
    </row>
    <row r="86" ht="15.75" customHeight="1">
      <c r="E86" s="80"/>
    </row>
    <row r="87" ht="15.75" customHeight="1">
      <c r="E87" s="80"/>
    </row>
    <row r="88" ht="15.75" customHeight="1">
      <c r="E88" s="80"/>
    </row>
    <row r="89" ht="15.75" customHeight="1">
      <c r="E89" s="80"/>
    </row>
    <row r="90" ht="15.75" customHeight="1">
      <c r="E90" s="80"/>
    </row>
    <row r="91" ht="15.75" customHeight="1">
      <c r="E91" s="80"/>
    </row>
    <row r="92" ht="15.75" customHeight="1">
      <c r="E92" s="80"/>
    </row>
    <row r="93" ht="15.75" customHeight="1">
      <c r="E93" s="80"/>
    </row>
    <row r="94" ht="15.75" customHeight="1">
      <c r="E94" s="80"/>
    </row>
    <row r="95" ht="15.75" customHeight="1">
      <c r="E95" s="80"/>
    </row>
    <row r="96" ht="15.75" customHeight="1">
      <c r="E96" s="80"/>
    </row>
    <row r="97" ht="15.75" customHeight="1">
      <c r="E97" s="80"/>
    </row>
    <row r="98" ht="15.75" customHeight="1">
      <c r="E98" s="80"/>
    </row>
    <row r="99" ht="15.75" customHeight="1">
      <c r="E99" s="80"/>
    </row>
    <row r="100" ht="15.75" customHeight="1">
      <c r="E100" s="80"/>
    </row>
    <row r="101" ht="15.75" customHeight="1">
      <c r="E101" s="80"/>
    </row>
    <row r="102" ht="15.75" customHeight="1">
      <c r="E102" s="80"/>
    </row>
    <row r="103" ht="15.75" customHeight="1">
      <c r="E103" s="80"/>
    </row>
    <row r="104" ht="15.75" customHeight="1">
      <c r="E104" s="80"/>
    </row>
    <row r="105" ht="15.75" customHeight="1">
      <c r="E105" s="80"/>
    </row>
    <row r="106" ht="15.75" customHeight="1">
      <c r="E106" s="80"/>
    </row>
    <row r="107" ht="15.75" customHeight="1">
      <c r="E107" s="80"/>
    </row>
    <row r="108" ht="15.75" customHeight="1">
      <c r="E108" s="80"/>
    </row>
    <row r="109" ht="15.75" customHeight="1">
      <c r="E109" s="80"/>
    </row>
    <row r="110" ht="15.75" customHeight="1">
      <c r="E110" s="80"/>
    </row>
    <row r="111" ht="15.75" customHeight="1">
      <c r="E111" s="80"/>
    </row>
    <row r="112" ht="15.75" customHeight="1">
      <c r="E112" s="80"/>
    </row>
    <row r="113" ht="15.75" customHeight="1">
      <c r="E113" s="80"/>
    </row>
    <row r="114" ht="15.75" customHeight="1">
      <c r="E114" s="80"/>
    </row>
    <row r="115" ht="15.75" customHeight="1">
      <c r="E115" s="80"/>
    </row>
    <row r="116" ht="15.75" customHeight="1">
      <c r="E116" s="80"/>
    </row>
    <row r="117" ht="15.75" customHeight="1">
      <c r="E117" s="80"/>
    </row>
    <row r="118" ht="15.75" customHeight="1">
      <c r="E118" s="80"/>
    </row>
    <row r="119" ht="15.75" customHeight="1">
      <c r="E119" s="80"/>
    </row>
    <row r="120" ht="15.75" customHeight="1">
      <c r="E120" s="80"/>
    </row>
    <row r="121" ht="15.75" customHeight="1">
      <c r="E121" s="80"/>
    </row>
    <row r="122" ht="15.75" customHeight="1">
      <c r="E122" s="80"/>
    </row>
    <row r="123" ht="15.75" customHeight="1">
      <c r="E123" s="80"/>
    </row>
    <row r="124" ht="15.75" customHeight="1">
      <c r="E124" s="80"/>
    </row>
    <row r="125" ht="15.75" customHeight="1">
      <c r="E125" s="80"/>
    </row>
    <row r="126" ht="15.75" customHeight="1">
      <c r="E126" s="80"/>
    </row>
    <row r="127" ht="15.75" customHeight="1">
      <c r="E127" s="80"/>
    </row>
    <row r="128" ht="15.75" customHeight="1">
      <c r="E128" s="80"/>
    </row>
    <row r="129" ht="15.75" customHeight="1">
      <c r="E129" s="80"/>
    </row>
    <row r="130" ht="15.75" customHeight="1">
      <c r="E130" s="80"/>
    </row>
    <row r="131" ht="15.75" customHeight="1">
      <c r="E131" s="80"/>
    </row>
    <row r="132" ht="15.75" customHeight="1">
      <c r="E132" s="80"/>
    </row>
    <row r="133" ht="15.75" customHeight="1">
      <c r="E133" s="80"/>
    </row>
    <row r="134" ht="15.75" customHeight="1">
      <c r="E134" s="80"/>
    </row>
    <row r="135" ht="15.75" customHeight="1">
      <c r="E135" s="80"/>
    </row>
    <row r="136" ht="15.75" customHeight="1">
      <c r="E136" s="80"/>
    </row>
    <row r="137" ht="15.75" customHeight="1">
      <c r="E137" s="80"/>
    </row>
    <row r="138" ht="15.75" customHeight="1">
      <c r="E138" s="80"/>
    </row>
    <row r="139" ht="15.75" customHeight="1">
      <c r="E139" s="80"/>
    </row>
    <row r="140" ht="15.75" customHeight="1">
      <c r="E140" s="80"/>
    </row>
    <row r="141" ht="15.75" customHeight="1">
      <c r="E141" s="80"/>
    </row>
    <row r="142" ht="15.75" customHeight="1">
      <c r="E142" s="80"/>
    </row>
    <row r="143" ht="15.75" customHeight="1">
      <c r="E143" s="80"/>
    </row>
    <row r="144" ht="15.75" customHeight="1">
      <c r="E144" s="80"/>
    </row>
    <row r="145" ht="15.75" customHeight="1">
      <c r="E145" s="80"/>
    </row>
    <row r="146" ht="15.75" customHeight="1">
      <c r="E146" s="80"/>
    </row>
    <row r="147" ht="15.75" customHeight="1">
      <c r="E147" s="80"/>
    </row>
    <row r="148" ht="15.75" customHeight="1">
      <c r="E148" s="80"/>
    </row>
    <row r="149" ht="15.75" customHeight="1">
      <c r="E149" s="80"/>
    </row>
    <row r="150" ht="15.75" customHeight="1">
      <c r="E150" s="80"/>
    </row>
    <row r="151" ht="15.75" customHeight="1">
      <c r="E151" s="80"/>
    </row>
    <row r="152" ht="15.75" customHeight="1">
      <c r="E152" s="80"/>
    </row>
    <row r="153" ht="15.75" customHeight="1">
      <c r="E153" s="80"/>
    </row>
    <row r="154" ht="15.75" customHeight="1">
      <c r="E154" s="80"/>
    </row>
    <row r="155" ht="15.75" customHeight="1">
      <c r="E155" s="80"/>
    </row>
    <row r="156" ht="15.75" customHeight="1">
      <c r="E156" s="80"/>
    </row>
    <row r="157" ht="15.75" customHeight="1">
      <c r="E157" s="80"/>
    </row>
    <row r="158" ht="15.75" customHeight="1">
      <c r="E158" s="80"/>
    </row>
    <row r="159" ht="15.75" customHeight="1">
      <c r="E159" s="80"/>
    </row>
    <row r="160" ht="15.75" customHeight="1">
      <c r="E160" s="80"/>
    </row>
    <row r="161" ht="15.75" customHeight="1">
      <c r="E161" s="80"/>
    </row>
    <row r="162" ht="15.75" customHeight="1">
      <c r="E162" s="80"/>
    </row>
    <row r="163" ht="15.75" customHeight="1">
      <c r="E163" s="80"/>
    </row>
    <row r="164" ht="15.75" customHeight="1">
      <c r="E164" s="80"/>
    </row>
    <row r="165" ht="15.75" customHeight="1">
      <c r="E165" s="80"/>
    </row>
    <row r="166" ht="15.75" customHeight="1">
      <c r="E166" s="80"/>
    </row>
    <row r="167" ht="15.75" customHeight="1">
      <c r="E167" s="80"/>
    </row>
    <row r="168" ht="15.75" customHeight="1">
      <c r="E168" s="80"/>
    </row>
    <row r="169" ht="15.75" customHeight="1">
      <c r="E169" s="80"/>
    </row>
    <row r="170" ht="15.75" customHeight="1">
      <c r="E170" s="80"/>
    </row>
    <row r="171" ht="15.75" customHeight="1">
      <c r="E171" s="80"/>
    </row>
    <row r="172" ht="15.75" customHeight="1">
      <c r="E172" s="80"/>
    </row>
    <row r="173" ht="15.75" customHeight="1">
      <c r="E173" s="80"/>
    </row>
    <row r="174" ht="15.75" customHeight="1">
      <c r="E174" s="80"/>
    </row>
    <row r="175" ht="15.75" customHeight="1">
      <c r="E175" s="80"/>
    </row>
    <row r="176" ht="15.75" customHeight="1">
      <c r="E176" s="80"/>
    </row>
    <row r="177" ht="15.75" customHeight="1">
      <c r="E177" s="80"/>
    </row>
    <row r="178" ht="15.75" customHeight="1">
      <c r="E178" s="80"/>
    </row>
    <row r="179" ht="15.75" customHeight="1">
      <c r="E179" s="80"/>
    </row>
    <row r="180" ht="15.75" customHeight="1">
      <c r="E180" s="80"/>
    </row>
    <row r="181" ht="15.75" customHeight="1">
      <c r="E181" s="80"/>
    </row>
    <row r="182" ht="15.75" customHeight="1">
      <c r="E182" s="80"/>
    </row>
    <row r="183" ht="15.75" customHeight="1">
      <c r="E183" s="80"/>
    </row>
    <row r="184" ht="15.75" customHeight="1">
      <c r="E184" s="80"/>
    </row>
    <row r="185" ht="15.75" customHeight="1">
      <c r="E185" s="80"/>
    </row>
    <row r="186" ht="15.75" customHeight="1">
      <c r="E186" s="80"/>
    </row>
    <row r="187" ht="15.75" customHeight="1">
      <c r="E187" s="80"/>
    </row>
    <row r="188" ht="15.75" customHeight="1">
      <c r="E188" s="80"/>
    </row>
    <row r="189" ht="15.75" customHeight="1">
      <c r="E189" s="80"/>
    </row>
    <row r="190" ht="15.75" customHeight="1">
      <c r="E190" s="80"/>
    </row>
    <row r="191" ht="15.75" customHeight="1">
      <c r="E191" s="80"/>
    </row>
    <row r="192" ht="15.75" customHeight="1">
      <c r="E192" s="80"/>
    </row>
    <row r="193" ht="15.75" customHeight="1">
      <c r="E193" s="80"/>
    </row>
    <row r="194" ht="15.75" customHeight="1">
      <c r="E194" s="80"/>
    </row>
    <row r="195" ht="15.75" customHeight="1">
      <c r="E195" s="80"/>
    </row>
    <row r="196" ht="15.75" customHeight="1">
      <c r="E196" s="80"/>
    </row>
    <row r="197" ht="15.75" customHeight="1">
      <c r="E197" s="80"/>
    </row>
    <row r="198" ht="15.75" customHeight="1">
      <c r="E198" s="80"/>
    </row>
    <row r="199" ht="15.75" customHeight="1">
      <c r="E199" s="80"/>
    </row>
    <row r="200" ht="15.75" customHeight="1">
      <c r="E200" s="80"/>
    </row>
    <row r="201" ht="15.75" customHeight="1">
      <c r="E201" s="80"/>
    </row>
    <row r="202" ht="15.75" customHeight="1">
      <c r="E202" s="80"/>
    </row>
    <row r="203" ht="15.75" customHeight="1">
      <c r="E203" s="80"/>
    </row>
    <row r="204" ht="15.75" customHeight="1">
      <c r="E204" s="80"/>
    </row>
    <row r="205" ht="15.75" customHeight="1">
      <c r="E205" s="80"/>
    </row>
    <row r="206" ht="15.75" customHeight="1">
      <c r="E206" s="80"/>
    </row>
    <row r="207" ht="15.75" customHeight="1">
      <c r="E207" s="80"/>
    </row>
    <row r="208" ht="15.75" customHeight="1">
      <c r="E208" s="80"/>
    </row>
    <row r="209" ht="15.75" customHeight="1">
      <c r="E209" s="80"/>
    </row>
    <row r="210" ht="15.75" customHeight="1">
      <c r="E210" s="80"/>
    </row>
    <row r="211" ht="15.75" customHeight="1">
      <c r="E211" s="80"/>
    </row>
    <row r="212" ht="15.75" customHeight="1">
      <c r="E212" s="80"/>
    </row>
    <row r="213" ht="15.75" customHeight="1">
      <c r="E213" s="80"/>
    </row>
    <row r="214" ht="15.75" customHeight="1">
      <c r="E214" s="80"/>
    </row>
    <row r="215" ht="15.75" customHeight="1">
      <c r="E215" s="80"/>
    </row>
    <row r="216" ht="15.75" customHeight="1">
      <c r="E216" s="80"/>
    </row>
    <row r="217" ht="15.75" customHeight="1">
      <c r="E217" s="80"/>
    </row>
    <row r="218" ht="15.75" customHeight="1">
      <c r="E218" s="80"/>
    </row>
    <row r="219" ht="15.75" customHeight="1">
      <c r="E219" s="80"/>
    </row>
    <row r="220" ht="15.75" customHeight="1">
      <c r="E220" s="80"/>
    </row>
    <row r="221" ht="15.75" customHeight="1">
      <c r="E221" s="80"/>
    </row>
    <row r="222" ht="15.75" customHeight="1">
      <c r="E222" s="80"/>
    </row>
    <row r="223" ht="15.75" customHeight="1">
      <c r="E223" s="80"/>
    </row>
    <row r="224" ht="15.75" customHeight="1">
      <c r="E224" s="80"/>
    </row>
    <row r="225" ht="15.75" customHeight="1">
      <c r="E225" s="80"/>
    </row>
    <row r="226" ht="15.75" customHeight="1">
      <c r="E226" s="80"/>
    </row>
    <row r="227" ht="15.75" customHeight="1">
      <c r="E227" s="80"/>
    </row>
    <row r="228" ht="15.75" customHeight="1">
      <c r="E228" s="80"/>
    </row>
    <row r="229" ht="15.75" customHeight="1">
      <c r="E229" s="80"/>
    </row>
    <row r="230" ht="15.75" customHeight="1">
      <c r="E230" s="80"/>
    </row>
    <row r="231" ht="15.75" customHeight="1">
      <c r="E231" s="80"/>
    </row>
    <row r="232" ht="15.75" customHeight="1">
      <c r="E232" s="80"/>
    </row>
    <row r="233" ht="15.75" customHeight="1">
      <c r="E233" s="80"/>
    </row>
    <row r="234" ht="15.75" customHeight="1">
      <c r="E234" s="80"/>
    </row>
    <row r="235" ht="15.75" customHeight="1">
      <c r="E235" s="80"/>
    </row>
    <row r="236" ht="15.75" customHeight="1">
      <c r="E236" s="80"/>
    </row>
    <row r="237" ht="15.75" customHeight="1">
      <c r="E237" s="80"/>
    </row>
    <row r="238" ht="15.75" customHeight="1">
      <c r="E238" s="80"/>
    </row>
    <row r="239" ht="15.75" customHeight="1">
      <c r="E239" s="80"/>
    </row>
    <row r="240" ht="15.75" customHeight="1">
      <c r="E240" s="80"/>
    </row>
    <row r="241" ht="15.75" customHeight="1">
      <c r="E241" s="80"/>
    </row>
    <row r="242" ht="15.75" customHeight="1">
      <c r="E242" s="80"/>
    </row>
    <row r="243" ht="15.75" customHeight="1">
      <c r="E243" s="80"/>
    </row>
    <row r="244" ht="15.75" customHeight="1">
      <c r="E244" s="80"/>
    </row>
    <row r="245" ht="15.75" customHeight="1">
      <c r="E245" s="80"/>
    </row>
    <row r="246" ht="15.75" customHeight="1">
      <c r="E246" s="80"/>
    </row>
    <row r="247" ht="15.75" customHeight="1">
      <c r="E247" s="8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3:A47">
    <cfRule type="cellIs" dxfId="0" priority="1" operator="equal">
      <formula>"ARMA"</formula>
    </cfRule>
  </conditionalFormatting>
  <conditionalFormatting sqref="A43:A47">
    <cfRule type="cellIs" dxfId="1" priority="2" operator="equal">
      <formula>"MUNIÇÃO"</formula>
    </cfRule>
  </conditionalFormatting>
  <conditionalFormatting sqref="A43:A47">
    <cfRule type="cellIs" dxfId="2" priority="3" operator="equal">
      <formula>"BASEADO"</formula>
    </cfRule>
  </conditionalFormatting>
  <conditionalFormatting sqref="A43:A47">
    <cfRule type="cellIs" dxfId="3" priority="4" operator="equal">
      <formula>"COCAINA"</formula>
    </cfRule>
  </conditionalFormatting>
  <conditionalFormatting sqref="A43:A47">
    <cfRule type="cellIs" dxfId="4" priority="5" operator="equal">
      <formula>"DESMANCHE"</formula>
    </cfRule>
  </conditionalFormatting>
  <conditionalFormatting sqref="A43:A47">
    <cfRule type="cellIs" dxfId="5" priority="6" operator="equal">
      <formula>"LAVAGEM"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63"/>
    <col customWidth="1" min="2" max="2" width="31.63"/>
    <col customWidth="1" min="3" max="3" width="62.88"/>
    <col customWidth="1" min="4" max="4" width="29.0"/>
    <col customWidth="1" min="5" max="5" width="17.5"/>
    <col customWidth="1" min="6" max="6" width="14.0"/>
    <col customWidth="1" min="8" max="8" width="19.5"/>
    <col customWidth="1" min="9" max="9" width="15.5"/>
    <col customWidth="1" min="10" max="10" width="17.63"/>
  </cols>
  <sheetData>
    <row r="1" ht="15.75" customHeight="1">
      <c r="A1" s="106" t="s">
        <v>455</v>
      </c>
      <c r="B1" s="106" t="s">
        <v>190</v>
      </c>
      <c r="C1" s="64" t="s">
        <v>12</v>
      </c>
      <c r="D1" s="106" t="s">
        <v>171</v>
      </c>
      <c r="E1" s="64" t="s">
        <v>308</v>
      </c>
      <c r="F1" s="64" t="s">
        <v>248</v>
      </c>
      <c r="G1" s="107" t="s">
        <v>456</v>
      </c>
      <c r="H1" s="26"/>
      <c r="I1" s="108" t="s">
        <v>309</v>
      </c>
      <c r="J1" s="26"/>
    </row>
    <row r="2" ht="15.75" customHeight="1">
      <c r="A2" s="5">
        <f>COUNTIFS(A4:A1003,"DESMANCHE")</f>
        <v>6</v>
      </c>
      <c r="B2" s="5">
        <f>COUNTIFS($A:$A,"MUNIÇÃO")</f>
        <v>11</v>
      </c>
      <c r="C2" s="5">
        <f>COUNTIFS($A:$A,"LAVAGEM")</f>
        <v>5</v>
      </c>
      <c r="D2" s="5">
        <f>COUNTIFS($A:$A,"BASEADO")</f>
        <v>6</v>
      </c>
      <c r="E2" s="5">
        <f>COUNTIFS($A:$A,"COCAINA")</f>
        <v>9</v>
      </c>
      <c r="F2" s="5">
        <f>COUNTIFS($A:$A,"ARMA")</f>
        <v>9</v>
      </c>
      <c r="G2" s="109">
        <f>COUNTIFS(D4:D1003,"COMERCIAL")</f>
        <v>4</v>
      </c>
      <c r="H2" s="26"/>
      <c r="I2" s="67" t="s">
        <v>171</v>
      </c>
      <c r="J2" s="26"/>
    </row>
    <row r="3" ht="15.75" customHeight="1">
      <c r="A3" s="110" t="s">
        <v>307</v>
      </c>
      <c r="B3" s="111" t="s">
        <v>310</v>
      </c>
      <c r="C3" s="112" t="s">
        <v>3</v>
      </c>
      <c r="D3" s="112" t="s">
        <v>8</v>
      </c>
      <c r="E3" s="112" t="s">
        <v>457</v>
      </c>
      <c r="F3" s="112" t="s">
        <v>458</v>
      </c>
      <c r="I3" s="113">
        <f>COUNTIFS($A:$A,$I$2,$D:$D,"livre")</f>
        <v>5</v>
      </c>
      <c r="J3" s="26"/>
    </row>
    <row r="4" ht="15.75" customHeight="1">
      <c r="A4" s="114" t="s">
        <v>248</v>
      </c>
      <c r="B4" s="115" t="s">
        <v>314</v>
      </c>
      <c r="C4" s="116" t="s">
        <v>459</v>
      </c>
      <c r="D4" s="117" t="s">
        <v>21</v>
      </c>
      <c r="E4" s="18" t="b">
        <v>1</v>
      </c>
      <c r="F4" s="118" t="b">
        <v>1</v>
      </c>
      <c r="I4" s="119"/>
      <c r="J4" s="119"/>
    </row>
    <row r="5" ht="15.75" customHeight="1">
      <c r="A5" s="114" t="s">
        <v>190</v>
      </c>
      <c r="B5" s="115" t="s">
        <v>319</v>
      </c>
      <c r="C5" s="116" t="s">
        <v>318</v>
      </c>
      <c r="D5" s="117" t="s">
        <v>15</v>
      </c>
      <c r="E5" s="18" t="b">
        <v>1</v>
      </c>
      <c r="F5" s="118" t="b">
        <v>0</v>
      </c>
      <c r="G5" s="80"/>
      <c r="I5" s="119"/>
      <c r="J5" s="119"/>
    </row>
    <row r="6" ht="15.75" customHeight="1">
      <c r="A6" s="114" t="s">
        <v>12</v>
      </c>
      <c r="B6" s="115" t="s">
        <v>322</v>
      </c>
      <c r="C6" s="116" t="s">
        <v>321</v>
      </c>
      <c r="D6" s="117" t="s">
        <v>15</v>
      </c>
      <c r="E6" s="18" t="b">
        <v>1</v>
      </c>
      <c r="F6" s="118" t="b">
        <v>0</v>
      </c>
      <c r="G6" s="60"/>
      <c r="I6" s="119"/>
      <c r="J6" s="119"/>
    </row>
    <row r="7" ht="15.75" customHeight="1">
      <c r="A7" s="114" t="s">
        <v>190</v>
      </c>
      <c r="B7" s="115" t="s">
        <v>324</v>
      </c>
      <c r="C7" s="116" t="s">
        <v>147</v>
      </c>
      <c r="D7" s="117" t="s">
        <v>21</v>
      </c>
      <c r="E7" s="18" t="b">
        <v>1</v>
      </c>
      <c r="F7" s="118" t="b">
        <v>1</v>
      </c>
      <c r="G7" s="93"/>
      <c r="I7" s="119"/>
      <c r="J7" s="119"/>
    </row>
    <row r="8" ht="15.75" customHeight="1">
      <c r="A8" s="114" t="s">
        <v>308</v>
      </c>
      <c r="B8" s="115" t="s">
        <v>327</v>
      </c>
      <c r="C8" s="116" t="s">
        <v>441</v>
      </c>
      <c r="D8" s="117" t="s">
        <v>21</v>
      </c>
      <c r="E8" s="18" t="b">
        <v>1</v>
      </c>
      <c r="F8" s="118" t="b">
        <v>1</v>
      </c>
      <c r="G8" s="60"/>
      <c r="I8" s="119"/>
      <c r="J8" s="119"/>
    </row>
    <row r="9" ht="15.75" customHeight="1">
      <c r="A9" s="114" t="s">
        <v>308</v>
      </c>
      <c r="B9" s="115" t="s">
        <v>329</v>
      </c>
      <c r="C9" s="116" t="s">
        <v>81</v>
      </c>
      <c r="D9" s="117" t="s">
        <v>15</v>
      </c>
      <c r="E9" s="18" t="b">
        <v>1</v>
      </c>
      <c r="F9" s="118" t="b">
        <v>0</v>
      </c>
      <c r="G9" s="120"/>
      <c r="I9" s="119"/>
      <c r="J9" s="119"/>
    </row>
    <row r="10" ht="15.75" customHeight="1">
      <c r="A10" s="114" t="s">
        <v>248</v>
      </c>
      <c r="B10" s="115" t="s">
        <v>331</v>
      </c>
      <c r="C10" s="121" t="s">
        <v>209</v>
      </c>
      <c r="D10" s="117" t="s">
        <v>15</v>
      </c>
      <c r="E10" s="18" t="b">
        <v>1</v>
      </c>
      <c r="F10" s="18" t="b">
        <v>0</v>
      </c>
      <c r="I10" s="119"/>
      <c r="J10" s="119"/>
    </row>
    <row r="11" ht="15.75" customHeight="1">
      <c r="A11" s="114" t="s">
        <v>190</v>
      </c>
      <c r="B11" s="115" t="s">
        <v>333</v>
      </c>
      <c r="C11" s="116" t="s">
        <v>286</v>
      </c>
      <c r="D11" s="117" t="s">
        <v>15</v>
      </c>
      <c r="E11" s="18" t="b">
        <v>1</v>
      </c>
      <c r="F11" s="18" t="b">
        <v>0</v>
      </c>
      <c r="I11" s="119"/>
      <c r="J11" s="119"/>
    </row>
    <row r="12" ht="15.75" customHeight="1">
      <c r="A12" s="114" t="s">
        <v>171</v>
      </c>
      <c r="B12" s="115" t="s">
        <v>335</v>
      </c>
      <c r="C12" s="116" t="s">
        <v>269</v>
      </c>
      <c r="D12" s="117" t="s">
        <v>15</v>
      </c>
      <c r="E12" s="18" t="b">
        <v>1</v>
      </c>
      <c r="F12" s="18" t="b">
        <v>0</v>
      </c>
      <c r="I12" s="119"/>
      <c r="J12" s="119"/>
    </row>
    <row r="13" ht="15.75" customHeight="1">
      <c r="A13" s="114" t="s">
        <v>248</v>
      </c>
      <c r="B13" s="115" t="s">
        <v>338</v>
      </c>
      <c r="C13" s="116" t="s">
        <v>337</v>
      </c>
      <c r="D13" s="117" t="s">
        <v>15</v>
      </c>
      <c r="E13" s="18" t="b">
        <v>1</v>
      </c>
      <c r="F13" s="18" t="b">
        <v>0</v>
      </c>
      <c r="I13" s="119"/>
      <c r="J13" s="119"/>
    </row>
    <row r="14" ht="15.75" customHeight="1">
      <c r="A14" s="114" t="s">
        <v>190</v>
      </c>
      <c r="B14" s="115" t="s">
        <v>340</v>
      </c>
      <c r="C14" s="116" t="s">
        <v>282</v>
      </c>
      <c r="D14" s="117" t="s">
        <v>15</v>
      </c>
      <c r="E14" s="18" t="b">
        <v>1</v>
      </c>
      <c r="F14" s="18" t="b">
        <v>0</v>
      </c>
      <c r="I14" s="119"/>
      <c r="J14" s="119"/>
    </row>
    <row r="15" ht="15.75" customHeight="1">
      <c r="A15" s="114" t="s">
        <v>248</v>
      </c>
      <c r="B15" s="115" t="s">
        <v>345</v>
      </c>
      <c r="C15" s="116" t="s">
        <v>344</v>
      </c>
      <c r="D15" s="117" t="s">
        <v>15</v>
      </c>
      <c r="E15" s="18" t="b">
        <v>1</v>
      </c>
      <c r="F15" s="18" t="b">
        <v>0</v>
      </c>
      <c r="I15" s="119"/>
      <c r="J15" s="119"/>
    </row>
    <row r="16" ht="15.75" customHeight="1">
      <c r="A16" s="114" t="s">
        <v>171</v>
      </c>
      <c r="B16" s="115" t="s">
        <v>347</v>
      </c>
      <c r="C16" s="116" t="s">
        <v>257</v>
      </c>
      <c r="D16" s="117" t="s">
        <v>15</v>
      </c>
      <c r="E16" s="18" t="b">
        <v>1</v>
      </c>
      <c r="F16" s="18" t="b">
        <v>0</v>
      </c>
      <c r="I16" s="119"/>
      <c r="J16" s="119"/>
    </row>
    <row r="17" ht="15.75" customHeight="1">
      <c r="A17" s="114" t="s">
        <v>308</v>
      </c>
      <c r="B17" s="115" t="s">
        <v>349</v>
      </c>
      <c r="C17" s="116" t="s">
        <v>278</v>
      </c>
      <c r="D17" s="117" t="s">
        <v>15</v>
      </c>
      <c r="E17" s="18" t="b">
        <v>1</v>
      </c>
      <c r="F17" s="18" t="b">
        <v>1</v>
      </c>
      <c r="I17" s="119"/>
      <c r="J17" s="119"/>
    </row>
    <row r="18" ht="15.75" customHeight="1">
      <c r="A18" s="114" t="s">
        <v>308</v>
      </c>
      <c r="B18" s="115" t="s">
        <v>353</v>
      </c>
      <c r="C18" s="116" t="s">
        <v>352</v>
      </c>
      <c r="D18" s="117" t="s">
        <v>15</v>
      </c>
      <c r="E18" s="18" t="b">
        <v>1</v>
      </c>
      <c r="F18" s="18" t="b">
        <v>0</v>
      </c>
      <c r="I18" s="119"/>
      <c r="J18" s="119"/>
    </row>
    <row r="19" ht="15.75" customHeight="1">
      <c r="A19" s="114" t="s">
        <v>248</v>
      </c>
      <c r="B19" s="115" t="s">
        <v>357</v>
      </c>
      <c r="C19" s="116" t="s">
        <v>460</v>
      </c>
      <c r="D19" s="117" t="s">
        <v>15</v>
      </c>
      <c r="E19" s="18" t="b">
        <v>1</v>
      </c>
      <c r="F19" s="18" t="b">
        <v>0</v>
      </c>
      <c r="I19" s="119"/>
      <c r="J19" s="119"/>
    </row>
    <row r="20" ht="15.75" customHeight="1">
      <c r="A20" s="114" t="s">
        <v>308</v>
      </c>
      <c r="B20" s="115" t="s">
        <v>361</v>
      </c>
      <c r="C20" s="116" t="s">
        <v>360</v>
      </c>
      <c r="D20" s="117" t="s">
        <v>15</v>
      </c>
      <c r="E20" s="18" t="b">
        <v>1</v>
      </c>
      <c r="F20" s="18" t="b">
        <v>0</v>
      </c>
      <c r="I20" s="119"/>
      <c r="J20" s="119"/>
    </row>
    <row r="21" ht="15.75" customHeight="1">
      <c r="A21" s="114" t="s">
        <v>171</v>
      </c>
      <c r="B21" s="115" t="s">
        <v>365</v>
      </c>
      <c r="C21" s="116" t="s">
        <v>461</v>
      </c>
      <c r="D21" s="117" t="s">
        <v>21</v>
      </c>
      <c r="E21" s="18" t="b">
        <v>1</v>
      </c>
      <c r="F21" s="18" t="b">
        <v>1</v>
      </c>
      <c r="I21" s="119"/>
      <c r="J21" s="119"/>
    </row>
    <row r="22" ht="15.75" customHeight="1">
      <c r="A22" s="114" t="s">
        <v>171</v>
      </c>
      <c r="B22" s="115" t="s">
        <v>369</v>
      </c>
      <c r="C22" s="116" t="s">
        <v>202</v>
      </c>
      <c r="D22" s="117" t="s">
        <v>15</v>
      </c>
      <c r="E22" s="18" t="b">
        <v>1</v>
      </c>
      <c r="F22" s="18" t="b">
        <v>0</v>
      </c>
      <c r="I22" s="119"/>
      <c r="J22" s="119"/>
    </row>
    <row r="23" ht="15.75" customHeight="1">
      <c r="A23" s="114" t="s">
        <v>190</v>
      </c>
      <c r="B23" s="115" t="s">
        <v>373</v>
      </c>
      <c r="C23" s="116" t="s">
        <v>372</v>
      </c>
      <c r="D23" s="117" t="s">
        <v>15</v>
      </c>
      <c r="E23" s="18" t="b">
        <v>1</v>
      </c>
      <c r="F23" s="18" t="b">
        <v>0</v>
      </c>
      <c r="I23" s="119"/>
      <c r="J23" s="119"/>
    </row>
    <row r="24" ht="15.75" customHeight="1">
      <c r="A24" s="114" t="s">
        <v>12</v>
      </c>
      <c r="B24" s="115" t="s">
        <v>376</v>
      </c>
      <c r="C24" s="116" t="s">
        <v>375</v>
      </c>
      <c r="D24" s="117" t="s">
        <v>21</v>
      </c>
      <c r="E24" s="18" t="b">
        <v>1</v>
      </c>
      <c r="F24" s="18" t="b">
        <v>1</v>
      </c>
      <c r="I24" s="119"/>
      <c r="J24" s="119"/>
    </row>
    <row r="25" ht="15.75" customHeight="1">
      <c r="A25" s="114" t="s">
        <v>308</v>
      </c>
      <c r="B25" s="115" t="s">
        <v>379</v>
      </c>
      <c r="C25" s="122" t="s">
        <v>378</v>
      </c>
      <c r="D25" s="117" t="s">
        <v>363</v>
      </c>
      <c r="E25" s="18" t="b">
        <v>1</v>
      </c>
      <c r="F25" s="18" t="b">
        <v>0</v>
      </c>
      <c r="I25" s="119"/>
      <c r="J25" s="119"/>
    </row>
    <row r="26" ht="15.75" customHeight="1">
      <c r="A26" s="114" t="s">
        <v>248</v>
      </c>
      <c r="B26" s="115" t="s">
        <v>382</v>
      </c>
      <c r="C26" s="122" t="s">
        <v>381</v>
      </c>
      <c r="D26" s="117" t="s">
        <v>363</v>
      </c>
      <c r="E26" s="18" t="b">
        <v>1</v>
      </c>
      <c r="F26" s="18" t="b">
        <v>0</v>
      </c>
      <c r="I26" s="119"/>
      <c r="J26" s="119"/>
    </row>
    <row r="27" ht="15.75" customHeight="1">
      <c r="A27" s="114" t="s">
        <v>66</v>
      </c>
      <c r="B27" s="115" t="s">
        <v>384</v>
      </c>
      <c r="C27" s="116" t="s">
        <v>167</v>
      </c>
      <c r="D27" s="117" t="s">
        <v>21</v>
      </c>
      <c r="E27" s="18" t="b">
        <v>1</v>
      </c>
      <c r="F27" s="18" t="b">
        <v>1</v>
      </c>
      <c r="I27" s="119"/>
      <c r="J27" s="119"/>
    </row>
    <row r="28" ht="15.75" customHeight="1">
      <c r="A28" s="114" t="s">
        <v>190</v>
      </c>
      <c r="B28" s="115" t="s">
        <v>388</v>
      </c>
      <c r="C28" s="116" t="s">
        <v>387</v>
      </c>
      <c r="D28" s="117" t="s">
        <v>15</v>
      </c>
      <c r="E28" s="18" t="b">
        <v>1</v>
      </c>
      <c r="F28" s="18" t="b">
        <v>0</v>
      </c>
      <c r="I28" s="119"/>
      <c r="J28" s="119"/>
    </row>
    <row r="29" ht="15.75" customHeight="1">
      <c r="A29" s="114" t="s">
        <v>308</v>
      </c>
      <c r="B29" s="115" t="s">
        <v>390</v>
      </c>
      <c r="C29" s="116" t="s">
        <v>129</v>
      </c>
      <c r="D29" s="117" t="s">
        <v>15</v>
      </c>
      <c r="E29" s="18" t="b">
        <v>1</v>
      </c>
      <c r="F29" s="18" t="b">
        <v>0</v>
      </c>
      <c r="I29" s="119"/>
      <c r="J29" s="119"/>
    </row>
    <row r="30" ht="15.75" customHeight="1">
      <c r="A30" s="114" t="s">
        <v>190</v>
      </c>
      <c r="B30" s="115" t="s">
        <v>392</v>
      </c>
      <c r="C30" s="116" t="s">
        <v>195</v>
      </c>
      <c r="D30" s="117" t="s">
        <v>15</v>
      </c>
      <c r="E30" s="18" t="b">
        <v>1</v>
      </c>
      <c r="F30" s="18" t="b">
        <v>0</v>
      </c>
      <c r="I30" s="119"/>
      <c r="J30" s="119"/>
    </row>
    <row r="31" ht="15.75" customHeight="1">
      <c r="A31" s="114" t="s">
        <v>190</v>
      </c>
      <c r="B31" s="115" t="s">
        <v>395</v>
      </c>
      <c r="C31" s="116" t="s">
        <v>394</v>
      </c>
      <c r="D31" s="117" t="s">
        <v>15</v>
      </c>
      <c r="E31" s="18" t="b">
        <v>1</v>
      </c>
      <c r="F31" s="18" t="b">
        <v>0</v>
      </c>
      <c r="I31" s="119"/>
      <c r="J31" s="119"/>
    </row>
    <row r="32" ht="15.75" customHeight="1">
      <c r="A32" s="114" t="s">
        <v>66</v>
      </c>
      <c r="B32" s="115" t="s">
        <v>398</v>
      </c>
      <c r="C32" s="116" t="s">
        <v>397</v>
      </c>
      <c r="D32" s="117" t="s">
        <v>15</v>
      </c>
      <c r="E32" s="18" t="b">
        <v>1</v>
      </c>
      <c r="F32" s="18" t="b">
        <v>0</v>
      </c>
      <c r="I32" s="119"/>
      <c r="J32" s="119"/>
    </row>
    <row r="33" ht="15.75" customHeight="1">
      <c r="A33" s="114" t="s">
        <v>190</v>
      </c>
      <c r="B33" s="115" t="s">
        <v>401</v>
      </c>
      <c r="C33" s="116" t="s">
        <v>400</v>
      </c>
      <c r="D33" s="117" t="s">
        <v>21</v>
      </c>
      <c r="E33" s="18" t="b">
        <v>1</v>
      </c>
      <c r="F33" s="18" t="b">
        <v>1</v>
      </c>
      <c r="I33" s="119"/>
      <c r="J33" s="119"/>
    </row>
    <row r="34" ht="15.75" customHeight="1">
      <c r="A34" s="114" t="s">
        <v>66</v>
      </c>
      <c r="B34" s="115" t="s">
        <v>405</v>
      </c>
      <c r="C34" s="116" t="s">
        <v>404</v>
      </c>
      <c r="D34" s="117" t="s">
        <v>15</v>
      </c>
      <c r="E34" s="18" t="b">
        <v>1</v>
      </c>
      <c r="F34" s="18" t="b">
        <v>0</v>
      </c>
      <c r="I34" s="119"/>
      <c r="J34" s="119"/>
    </row>
    <row r="35" ht="15.75" customHeight="1">
      <c r="A35" s="114" t="s">
        <v>12</v>
      </c>
      <c r="B35" s="115" t="s">
        <v>407</v>
      </c>
      <c r="C35" s="116" t="s">
        <v>172</v>
      </c>
      <c r="D35" s="117" t="s">
        <v>21</v>
      </c>
      <c r="E35" s="18" t="b">
        <v>1</v>
      </c>
      <c r="F35" s="18" t="b">
        <v>0</v>
      </c>
      <c r="I35" s="119"/>
      <c r="J35" s="119"/>
    </row>
    <row r="36" ht="15.75" customHeight="1">
      <c r="A36" s="114" t="s">
        <v>248</v>
      </c>
      <c r="B36" s="115" t="s">
        <v>410</v>
      </c>
      <c r="C36" s="116" t="s">
        <v>409</v>
      </c>
      <c r="D36" s="123" t="s">
        <v>15</v>
      </c>
      <c r="E36" s="18" t="b">
        <v>1</v>
      </c>
      <c r="F36" s="18" t="b">
        <v>0</v>
      </c>
      <c r="I36" s="119"/>
      <c r="J36" s="119"/>
    </row>
    <row r="37" ht="15.75" customHeight="1">
      <c r="A37" s="114" t="s">
        <v>171</v>
      </c>
      <c r="B37" s="115" t="s">
        <v>413</v>
      </c>
      <c r="C37" s="116" t="s">
        <v>412</v>
      </c>
      <c r="D37" s="123" t="s">
        <v>15</v>
      </c>
      <c r="E37" s="18" t="b">
        <v>1</v>
      </c>
      <c r="F37" s="18" t="b">
        <v>0</v>
      </c>
      <c r="I37" s="119"/>
      <c r="J37" s="119"/>
    </row>
    <row r="38" ht="15.75" customHeight="1">
      <c r="A38" s="114" t="s">
        <v>308</v>
      </c>
      <c r="B38" s="115" t="s">
        <v>415</v>
      </c>
      <c r="C38" s="116" t="s">
        <v>414</v>
      </c>
      <c r="D38" s="123" t="s">
        <v>15</v>
      </c>
      <c r="E38" s="18" t="b">
        <v>1</v>
      </c>
      <c r="F38" s="18" t="b">
        <v>0</v>
      </c>
      <c r="I38" s="119"/>
      <c r="J38" s="119"/>
    </row>
    <row r="39" ht="15.75" customHeight="1">
      <c r="A39" s="114" t="s">
        <v>66</v>
      </c>
      <c r="B39" s="115" t="s">
        <v>418</v>
      </c>
      <c r="C39" s="116" t="s">
        <v>417</v>
      </c>
      <c r="D39" s="123" t="s">
        <v>15</v>
      </c>
      <c r="E39" s="18" t="b">
        <v>1</v>
      </c>
      <c r="F39" s="18" t="b">
        <v>0</v>
      </c>
      <c r="I39" s="119"/>
      <c r="J39" s="119"/>
    </row>
    <row r="40" ht="15.75" customHeight="1">
      <c r="A40" s="114" t="s">
        <v>171</v>
      </c>
      <c r="B40" s="115" t="s">
        <v>421</v>
      </c>
      <c r="C40" s="116" t="s">
        <v>420</v>
      </c>
      <c r="D40" s="123" t="s">
        <v>15</v>
      </c>
      <c r="E40" s="18" t="b">
        <v>1</v>
      </c>
      <c r="F40" s="18" t="b">
        <v>0</v>
      </c>
      <c r="I40" s="119"/>
      <c r="J40" s="119"/>
    </row>
    <row r="41" ht="15.75" customHeight="1">
      <c r="A41" s="114" t="s">
        <v>66</v>
      </c>
      <c r="B41" s="115" t="s">
        <v>424</v>
      </c>
      <c r="C41" s="116" t="s">
        <v>423</v>
      </c>
      <c r="D41" s="123" t="s">
        <v>15</v>
      </c>
      <c r="E41" s="18" t="b">
        <v>1</v>
      </c>
      <c r="F41" s="18" t="b">
        <v>0</v>
      </c>
      <c r="I41" s="119"/>
      <c r="J41" s="119"/>
    </row>
    <row r="42" ht="15.75" customHeight="1">
      <c r="A42" s="114" t="s">
        <v>248</v>
      </c>
      <c r="B42" s="115" t="s">
        <v>426</v>
      </c>
      <c r="C42" s="124" t="s">
        <v>462</v>
      </c>
      <c r="D42" s="123" t="s">
        <v>363</v>
      </c>
      <c r="E42" s="18" t="b">
        <v>1</v>
      </c>
      <c r="F42" s="18" t="b">
        <v>1</v>
      </c>
      <c r="I42" s="119"/>
      <c r="J42" s="119"/>
    </row>
    <row r="43" ht="15.75" customHeight="1">
      <c r="A43" s="114" t="s">
        <v>248</v>
      </c>
      <c r="B43" s="115" t="s">
        <v>429</v>
      </c>
      <c r="C43" s="116" t="s">
        <v>221</v>
      </c>
      <c r="D43" s="123" t="s">
        <v>15</v>
      </c>
      <c r="E43" s="18" t="b">
        <v>1</v>
      </c>
      <c r="F43" s="18" t="b">
        <v>0</v>
      </c>
      <c r="I43" s="119"/>
      <c r="J43" s="119"/>
    </row>
    <row r="44" ht="15.75" customHeight="1">
      <c r="A44" s="114" t="s">
        <v>66</v>
      </c>
      <c r="B44" s="115" t="s">
        <v>431</v>
      </c>
      <c r="C44" s="116" t="s">
        <v>49</v>
      </c>
      <c r="D44" s="123" t="s">
        <v>15</v>
      </c>
      <c r="E44" s="18" t="b">
        <v>1</v>
      </c>
      <c r="F44" s="18" t="b">
        <v>0</v>
      </c>
      <c r="I44" s="119"/>
      <c r="J44" s="119"/>
    </row>
    <row r="45" ht="15.75" customHeight="1">
      <c r="A45" s="114" t="s">
        <v>308</v>
      </c>
      <c r="B45" s="125" t="s">
        <v>434</v>
      </c>
      <c r="C45" s="126" t="s">
        <v>433</v>
      </c>
      <c r="D45" s="123" t="s">
        <v>15</v>
      </c>
      <c r="E45" s="18" t="b">
        <v>1</v>
      </c>
      <c r="F45" s="18" t="b">
        <v>0</v>
      </c>
      <c r="I45" s="119"/>
      <c r="J45" s="119"/>
    </row>
    <row r="46" ht="15.75" customHeight="1">
      <c r="A46" s="114" t="s">
        <v>190</v>
      </c>
      <c r="B46" s="125" t="s">
        <v>436</v>
      </c>
      <c r="C46" s="126" t="s">
        <v>62</v>
      </c>
      <c r="D46" s="123" t="s">
        <v>15</v>
      </c>
      <c r="E46" s="18" t="b">
        <v>1</v>
      </c>
      <c r="F46" s="18" t="b">
        <v>0</v>
      </c>
      <c r="I46" s="119"/>
      <c r="J46" s="119"/>
    </row>
    <row r="47" ht="15.75" customHeight="1">
      <c r="A47" s="127" t="s">
        <v>190</v>
      </c>
      <c r="B47" s="125" t="s">
        <v>447</v>
      </c>
      <c r="C47" s="128" t="s">
        <v>446</v>
      </c>
      <c r="D47" s="123" t="s">
        <v>363</v>
      </c>
      <c r="E47" s="18" t="b">
        <v>1</v>
      </c>
      <c r="F47" s="18" t="b">
        <v>0</v>
      </c>
      <c r="I47" s="119"/>
      <c r="J47" s="119"/>
    </row>
    <row r="48" ht="15.75" customHeight="1">
      <c r="A48" s="114" t="s">
        <v>12</v>
      </c>
      <c r="B48" s="125" t="s">
        <v>450</v>
      </c>
      <c r="C48" s="126" t="s">
        <v>449</v>
      </c>
      <c r="D48" s="123" t="s">
        <v>15</v>
      </c>
      <c r="E48" s="18" t="b">
        <v>1</v>
      </c>
      <c r="F48" s="18" t="b">
        <v>0</v>
      </c>
      <c r="I48" s="119"/>
      <c r="J48" s="119"/>
    </row>
    <row r="49" ht="15.75" customHeight="1">
      <c r="A49" s="129" t="s">
        <v>12</v>
      </c>
      <c r="B49" s="130" t="s">
        <v>453</v>
      </c>
      <c r="C49" s="131" t="s">
        <v>452</v>
      </c>
      <c r="D49" s="132" t="s">
        <v>15</v>
      </c>
      <c r="E49" s="133" t="b">
        <v>1</v>
      </c>
      <c r="F49" s="133" t="b">
        <v>0</v>
      </c>
      <c r="I49" s="119"/>
      <c r="J49" s="119"/>
    </row>
    <row r="50" ht="15.75" customHeight="1">
      <c r="A50" s="56"/>
      <c r="B50" s="57"/>
      <c r="C50" s="57"/>
      <c r="D50" s="80"/>
      <c r="I50" s="119"/>
      <c r="J50" s="119"/>
    </row>
    <row r="51" ht="15.75" customHeight="1">
      <c r="A51" s="56"/>
      <c r="B51" s="57"/>
      <c r="C51" s="57"/>
      <c r="D51" s="80"/>
      <c r="I51" s="119"/>
      <c r="J51" s="119"/>
    </row>
    <row r="52" ht="15.75" customHeight="1">
      <c r="A52" s="56"/>
      <c r="B52" s="57"/>
      <c r="C52" s="57"/>
      <c r="D52" s="80"/>
      <c r="I52" s="119"/>
      <c r="J52" s="119"/>
    </row>
    <row r="53" ht="15.75" customHeight="1">
      <c r="A53" s="56"/>
      <c r="B53" s="57"/>
      <c r="C53" s="57"/>
      <c r="D53" s="80"/>
      <c r="I53" s="119"/>
      <c r="J53" s="119"/>
    </row>
    <row r="54" ht="15.75" customHeight="1">
      <c r="A54" s="56"/>
      <c r="B54" s="57"/>
      <c r="C54" s="57"/>
      <c r="D54" s="80"/>
      <c r="I54" s="119"/>
      <c r="J54" s="119"/>
    </row>
    <row r="55" ht="15.75" customHeight="1">
      <c r="A55" s="56"/>
      <c r="B55" s="57"/>
      <c r="C55" s="57"/>
      <c r="D55" s="80"/>
      <c r="I55" s="119"/>
      <c r="J55" s="119"/>
    </row>
    <row r="56" ht="15.75" customHeight="1">
      <c r="A56" s="56"/>
      <c r="B56" s="57"/>
      <c r="C56" s="57"/>
      <c r="D56" s="80"/>
      <c r="I56" s="119"/>
      <c r="J56" s="119"/>
    </row>
    <row r="57" ht="15.75" customHeight="1">
      <c r="A57" s="56"/>
      <c r="B57" s="57"/>
      <c r="C57" s="57"/>
      <c r="D57" s="80"/>
      <c r="I57" s="119"/>
      <c r="J57" s="119"/>
    </row>
    <row r="58" ht="15.75" customHeight="1">
      <c r="A58" s="56"/>
      <c r="B58" s="57"/>
      <c r="C58" s="57"/>
      <c r="D58" s="80"/>
      <c r="I58" s="119"/>
      <c r="J58" s="119"/>
    </row>
    <row r="59" ht="15.75" customHeight="1">
      <c r="A59" s="56"/>
      <c r="B59" s="57"/>
      <c r="C59" s="57"/>
      <c r="D59" s="80"/>
      <c r="I59" s="119"/>
      <c r="J59" s="119"/>
    </row>
    <row r="60" ht="15.75" customHeight="1">
      <c r="A60" s="56"/>
      <c r="B60" s="57"/>
      <c r="C60" s="57"/>
      <c r="D60" s="80"/>
      <c r="I60" s="119"/>
      <c r="J60" s="119"/>
    </row>
    <row r="61" ht="15.75" customHeight="1">
      <c r="A61" s="56"/>
      <c r="B61" s="57"/>
      <c r="C61" s="57"/>
      <c r="D61" s="80"/>
      <c r="I61" s="119"/>
      <c r="J61" s="119"/>
    </row>
    <row r="62" ht="15.75" customHeight="1">
      <c r="A62" s="56"/>
      <c r="B62" s="57"/>
      <c r="C62" s="57"/>
      <c r="D62" s="80"/>
      <c r="I62" s="119"/>
      <c r="J62" s="119"/>
    </row>
    <row r="63" ht="15.75" customHeight="1">
      <c r="A63" s="56"/>
      <c r="B63" s="57"/>
      <c r="C63" s="57"/>
      <c r="D63" s="80"/>
      <c r="I63" s="119"/>
      <c r="J63" s="119"/>
    </row>
    <row r="64" ht="15.75" customHeight="1">
      <c r="A64" s="56"/>
      <c r="B64" s="57"/>
      <c r="C64" s="57"/>
      <c r="D64" s="80"/>
      <c r="I64" s="119"/>
      <c r="J64" s="119"/>
    </row>
    <row r="65" ht="15.75" customHeight="1">
      <c r="A65" s="56"/>
      <c r="B65" s="57"/>
      <c r="C65" s="57"/>
      <c r="D65" s="80"/>
      <c r="I65" s="119"/>
      <c r="J65" s="119"/>
    </row>
    <row r="66" ht="15.75" customHeight="1">
      <c r="A66" s="56"/>
      <c r="B66" s="57"/>
      <c r="C66" s="57"/>
      <c r="D66" s="80"/>
      <c r="I66" s="119"/>
      <c r="J66" s="119"/>
    </row>
    <row r="67" ht="15.75" customHeight="1">
      <c r="A67" s="56"/>
      <c r="B67" s="57"/>
      <c r="C67" s="57"/>
      <c r="D67" s="80"/>
      <c r="I67" s="119"/>
      <c r="J67" s="119"/>
    </row>
    <row r="68" ht="15.75" customHeight="1">
      <c r="A68" s="56"/>
      <c r="B68" s="57"/>
      <c r="C68" s="57"/>
      <c r="D68" s="80"/>
      <c r="I68" s="119"/>
      <c r="J68" s="119"/>
    </row>
    <row r="69" ht="15.75" customHeight="1">
      <c r="A69" s="56"/>
      <c r="B69" s="57"/>
      <c r="C69" s="57"/>
      <c r="D69" s="80"/>
      <c r="I69" s="119"/>
      <c r="J69" s="119"/>
    </row>
    <row r="70" ht="15.75" customHeight="1">
      <c r="A70" s="56"/>
      <c r="B70" s="57"/>
      <c r="C70" s="57"/>
      <c r="D70" s="80"/>
      <c r="I70" s="119"/>
      <c r="J70" s="119"/>
    </row>
    <row r="71" ht="15.75" customHeight="1">
      <c r="A71" s="56"/>
      <c r="B71" s="57"/>
      <c r="C71" s="57"/>
      <c r="D71" s="80"/>
      <c r="I71" s="119"/>
      <c r="J71" s="119"/>
    </row>
    <row r="72" ht="15.75" customHeight="1">
      <c r="A72" s="56"/>
      <c r="B72" s="57"/>
      <c r="C72" s="57"/>
      <c r="D72" s="80"/>
      <c r="I72" s="119"/>
      <c r="J72" s="119"/>
    </row>
    <row r="73" ht="15.75" customHeight="1">
      <c r="A73" s="56"/>
      <c r="B73" s="57"/>
      <c r="C73" s="57"/>
      <c r="D73" s="80"/>
      <c r="I73" s="119"/>
      <c r="J73" s="119"/>
    </row>
    <row r="74" ht="15.75" customHeight="1">
      <c r="A74" s="56"/>
      <c r="B74" s="57"/>
      <c r="C74" s="57"/>
      <c r="D74" s="80"/>
      <c r="I74" s="119"/>
      <c r="J74" s="119"/>
    </row>
    <row r="75" ht="15.75" customHeight="1">
      <c r="A75" s="56"/>
      <c r="B75" s="57"/>
      <c r="C75" s="57"/>
      <c r="D75" s="80"/>
      <c r="I75" s="119"/>
      <c r="J75" s="119"/>
    </row>
    <row r="76" ht="15.75" customHeight="1">
      <c r="A76" s="56"/>
      <c r="B76" s="57"/>
      <c r="C76" s="57"/>
      <c r="D76" s="80"/>
      <c r="I76" s="119"/>
      <c r="J76" s="119"/>
    </row>
    <row r="77" ht="15.75" customHeight="1">
      <c r="A77" s="56"/>
      <c r="B77" s="57"/>
      <c r="C77" s="57"/>
      <c r="D77" s="80"/>
      <c r="I77" s="119"/>
      <c r="J77" s="119"/>
    </row>
    <row r="78" ht="15.75" customHeight="1">
      <c r="A78" s="56"/>
      <c r="B78" s="57"/>
      <c r="C78" s="57"/>
      <c r="D78" s="80"/>
      <c r="I78" s="119"/>
      <c r="J78" s="119"/>
    </row>
    <row r="79" ht="15.75" customHeight="1">
      <c r="A79" s="56"/>
      <c r="B79" s="57"/>
      <c r="C79" s="57"/>
      <c r="D79" s="80"/>
      <c r="I79" s="119"/>
      <c r="J79" s="119"/>
    </row>
    <row r="80" ht="15.75" customHeight="1">
      <c r="A80" s="56"/>
      <c r="B80" s="57"/>
      <c r="C80" s="57"/>
      <c r="D80" s="80"/>
      <c r="I80" s="119"/>
      <c r="J80" s="119"/>
    </row>
    <row r="81" ht="15.75" customHeight="1">
      <c r="A81" s="56"/>
      <c r="B81" s="57"/>
      <c r="C81" s="57"/>
      <c r="D81" s="80"/>
      <c r="I81" s="119"/>
      <c r="J81" s="119"/>
    </row>
    <row r="82" ht="15.75" customHeight="1">
      <c r="A82" s="56"/>
      <c r="B82" s="57"/>
      <c r="C82" s="57"/>
      <c r="D82" s="80"/>
      <c r="I82" s="119"/>
      <c r="J82" s="119"/>
    </row>
    <row r="83" ht="15.75" customHeight="1">
      <c r="A83" s="56"/>
      <c r="B83" s="57"/>
      <c r="C83" s="57"/>
      <c r="D83" s="80"/>
      <c r="I83" s="119"/>
      <c r="J83" s="119"/>
    </row>
    <row r="84" ht="15.75" customHeight="1">
      <c r="A84" s="56"/>
      <c r="B84" s="57"/>
      <c r="C84" s="57"/>
      <c r="D84" s="80"/>
      <c r="I84" s="119"/>
      <c r="J84" s="119"/>
    </row>
    <row r="85" ht="15.75" customHeight="1">
      <c r="A85" s="56"/>
      <c r="B85" s="57"/>
      <c r="C85" s="57"/>
      <c r="D85" s="80"/>
      <c r="I85" s="119"/>
      <c r="J85" s="119"/>
    </row>
    <row r="86" ht="15.75" customHeight="1">
      <c r="A86" s="56"/>
      <c r="B86" s="57"/>
      <c r="C86" s="57"/>
      <c r="D86" s="80"/>
      <c r="I86" s="119"/>
      <c r="J86" s="119"/>
    </row>
    <row r="87" ht="15.75" customHeight="1">
      <c r="A87" s="56"/>
      <c r="B87" s="57"/>
      <c r="C87" s="57"/>
      <c r="D87" s="80"/>
      <c r="I87" s="119"/>
      <c r="J87" s="119"/>
    </row>
    <row r="88" ht="15.75" customHeight="1">
      <c r="A88" s="56"/>
      <c r="B88" s="57"/>
      <c r="C88" s="57"/>
      <c r="D88" s="80"/>
      <c r="I88" s="119"/>
      <c r="J88" s="119"/>
    </row>
    <row r="89" ht="15.75" customHeight="1">
      <c r="A89" s="56"/>
      <c r="B89" s="57"/>
      <c r="C89" s="57"/>
      <c r="D89" s="80"/>
      <c r="I89" s="119"/>
      <c r="J89" s="119"/>
    </row>
    <row r="90" ht="15.75" customHeight="1">
      <c r="A90" s="56"/>
      <c r="B90" s="57"/>
      <c r="C90" s="57"/>
      <c r="D90" s="80"/>
      <c r="I90" s="119"/>
      <c r="J90" s="119"/>
    </row>
    <row r="91" ht="15.75" customHeight="1">
      <c r="A91" s="56"/>
      <c r="B91" s="57"/>
      <c r="C91" s="57"/>
      <c r="D91" s="80"/>
      <c r="I91" s="119"/>
      <c r="J91" s="119"/>
    </row>
    <row r="92" ht="15.75" customHeight="1">
      <c r="A92" s="56"/>
      <c r="B92" s="57"/>
      <c r="C92" s="57"/>
      <c r="D92" s="80"/>
      <c r="I92" s="119"/>
      <c r="J92" s="119"/>
    </row>
    <row r="93" ht="15.75" customHeight="1">
      <c r="A93" s="56"/>
      <c r="B93" s="57"/>
      <c r="C93" s="57"/>
      <c r="D93" s="80"/>
      <c r="I93" s="119"/>
      <c r="J93" s="119"/>
    </row>
    <row r="94" ht="15.75" customHeight="1">
      <c r="A94" s="56"/>
      <c r="B94" s="57"/>
      <c r="C94" s="57"/>
      <c r="D94" s="80"/>
      <c r="I94" s="119"/>
      <c r="J94" s="119"/>
    </row>
    <row r="95" ht="15.75" customHeight="1">
      <c r="A95" s="56"/>
      <c r="B95" s="57"/>
      <c r="C95" s="57"/>
      <c r="D95" s="80"/>
      <c r="I95" s="119"/>
      <c r="J95" s="119"/>
    </row>
    <row r="96" ht="15.75" customHeight="1">
      <c r="A96" s="56"/>
      <c r="B96" s="57"/>
      <c r="C96" s="57"/>
      <c r="D96" s="80"/>
      <c r="I96" s="119"/>
      <c r="J96" s="119"/>
    </row>
    <row r="97" ht="15.75" customHeight="1">
      <c r="A97" s="56"/>
      <c r="B97" s="57"/>
      <c r="C97" s="57"/>
      <c r="D97" s="80"/>
      <c r="I97" s="119"/>
      <c r="J97" s="119"/>
    </row>
    <row r="98" ht="15.75" customHeight="1">
      <c r="A98" s="56"/>
      <c r="B98" s="57"/>
      <c r="C98" s="57"/>
      <c r="D98" s="80"/>
      <c r="I98" s="119"/>
      <c r="J98" s="119"/>
    </row>
    <row r="99" ht="15.75" customHeight="1">
      <c r="A99" s="56"/>
      <c r="B99" s="57"/>
      <c r="C99" s="57"/>
      <c r="D99" s="80"/>
      <c r="I99" s="119"/>
      <c r="J99" s="119"/>
    </row>
    <row r="100" ht="15.75" customHeight="1">
      <c r="A100" s="56"/>
      <c r="B100" s="57"/>
      <c r="C100" s="57"/>
      <c r="D100" s="80"/>
      <c r="I100" s="119"/>
      <c r="J100" s="119"/>
    </row>
    <row r="101" ht="15.75" customHeight="1">
      <c r="A101" s="56"/>
      <c r="B101" s="57"/>
      <c r="C101" s="57"/>
      <c r="D101" s="80"/>
      <c r="I101" s="119"/>
      <c r="J101" s="119"/>
    </row>
    <row r="102" ht="15.75" customHeight="1">
      <c r="A102" s="56"/>
      <c r="B102" s="57"/>
      <c r="C102" s="57"/>
      <c r="D102" s="80"/>
      <c r="I102" s="119"/>
      <c r="J102" s="119"/>
    </row>
    <row r="103" ht="15.75" customHeight="1">
      <c r="A103" s="56"/>
      <c r="B103" s="57"/>
      <c r="C103" s="57"/>
      <c r="D103" s="80"/>
      <c r="I103" s="119"/>
      <c r="J103" s="119"/>
    </row>
    <row r="104" ht="15.75" customHeight="1">
      <c r="A104" s="56"/>
      <c r="B104" s="57"/>
      <c r="C104" s="57"/>
      <c r="D104" s="80"/>
      <c r="I104" s="119"/>
      <c r="J104" s="119"/>
    </row>
    <row r="105" ht="15.75" customHeight="1">
      <c r="A105" s="56"/>
      <c r="B105" s="57"/>
      <c r="C105" s="57"/>
      <c r="D105" s="80"/>
      <c r="I105" s="119"/>
      <c r="J105" s="119"/>
    </row>
    <row r="106" ht="15.75" customHeight="1">
      <c r="A106" s="56"/>
      <c r="B106" s="57"/>
      <c r="C106" s="57"/>
      <c r="D106" s="80"/>
      <c r="I106" s="119"/>
      <c r="J106" s="119"/>
    </row>
    <row r="107" ht="15.75" customHeight="1">
      <c r="A107" s="56"/>
      <c r="B107" s="57"/>
      <c r="C107" s="57"/>
      <c r="D107" s="80"/>
      <c r="I107" s="119"/>
      <c r="J107" s="119"/>
    </row>
    <row r="108" ht="15.75" customHeight="1">
      <c r="A108" s="56"/>
      <c r="B108" s="57"/>
      <c r="C108" s="57"/>
      <c r="D108" s="80"/>
      <c r="I108" s="119"/>
      <c r="J108" s="119"/>
    </row>
    <row r="109" ht="15.75" customHeight="1">
      <c r="A109" s="56"/>
      <c r="B109" s="57"/>
      <c r="C109" s="57"/>
      <c r="D109" s="80"/>
      <c r="I109" s="119"/>
      <c r="J109" s="119"/>
    </row>
    <row r="110" ht="15.75" customHeight="1">
      <c r="A110" s="56"/>
      <c r="B110" s="57"/>
      <c r="C110" s="57"/>
      <c r="D110" s="80"/>
      <c r="I110" s="119"/>
      <c r="J110" s="119"/>
    </row>
    <row r="111" ht="15.75" customHeight="1">
      <c r="A111" s="56"/>
      <c r="B111" s="57"/>
      <c r="C111" s="57"/>
      <c r="D111" s="80"/>
      <c r="I111" s="119"/>
      <c r="J111" s="119"/>
    </row>
    <row r="112" ht="15.75" customHeight="1">
      <c r="A112" s="56"/>
      <c r="B112" s="57"/>
      <c r="C112" s="57"/>
      <c r="D112" s="80"/>
      <c r="I112" s="119"/>
      <c r="J112" s="119"/>
    </row>
    <row r="113" ht="15.75" customHeight="1">
      <c r="A113" s="56"/>
      <c r="B113" s="57"/>
      <c r="C113" s="57"/>
      <c r="D113" s="80"/>
      <c r="I113" s="119"/>
      <c r="J113" s="119"/>
    </row>
    <row r="114" ht="15.75" customHeight="1">
      <c r="A114" s="56"/>
      <c r="B114" s="57"/>
      <c r="C114" s="57"/>
      <c r="D114" s="80"/>
      <c r="I114" s="119"/>
      <c r="J114" s="119"/>
    </row>
    <row r="115" ht="15.75" customHeight="1">
      <c r="A115" s="56"/>
      <c r="B115" s="57"/>
      <c r="C115" s="57"/>
      <c r="D115" s="80"/>
      <c r="I115" s="119"/>
      <c r="J115" s="119"/>
    </row>
    <row r="116" ht="15.75" customHeight="1">
      <c r="A116" s="56"/>
      <c r="B116" s="57"/>
      <c r="C116" s="57"/>
      <c r="D116" s="80"/>
      <c r="I116" s="119"/>
      <c r="J116" s="119"/>
    </row>
    <row r="117" ht="15.75" customHeight="1">
      <c r="A117" s="56"/>
      <c r="B117" s="57"/>
      <c r="C117" s="57"/>
      <c r="D117" s="80"/>
      <c r="I117" s="119"/>
      <c r="J117" s="119"/>
    </row>
    <row r="118" ht="15.75" customHeight="1">
      <c r="A118" s="56"/>
      <c r="B118" s="57"/>
      <c r="C118" s="57"/>
      <c r="D118" s="80"/>
      <c r="I118" s="119"/>
      <c r="J118" s="119"/>
    </row>
    <row r="119" ht="15.75" customHeight="1">
      <c r="A119" s="56"/>
      <c r="B119" s="57"/>
      <c r="C119" s="57"/>
      <c r="D119" s="80"/>
      <c r="I119" s="119"/>
      <c r="J119" s="119"/>
    </row>
    <row r="120" ht="15.75" customHeight="1">
      <c r="A120" s="56"/>
      <c r="B120" s="57"/>
      <c r="C120" s="57"/>
      <c r="D120" s="80"/>
      <c r="I120" s="119"/>
      <c r="J120" s="119"/>
    </row>
    <row r="121" ht="15.75" customHeight="1">
      <c r="A121" s="56"/>
      <c r="B121" s="57"/>
      <c r="C121" s="57"/>
      <c r="D121" s="80"/>
      <c r="I121" s="119"/>
      <c r="J121" s="119"/>
    </row>
    <row r="122" ht="15.75" customHeight="1">
      <c r="A122" s="56"/>
      <c r="B122" s="57"/>
      <c r="C122" s="57"/>
      <c r="D122" s="80"/>
      <c r="I122" s="119"/>
      <c r="J122" s="119"/>
    </row>
    <row r="123" ht="15.75" customHeight="1">
      <c r="A123" s="56"/>
      <c r="B123" s="57"/>
      <c r="C123" s="57"/>
      <c r="D123" s="80"/>
      <c r="I123" s="119"/>
      <c r="J123" s="119"/>
    </row>
    <row r="124" ht="15.75" customHeight="1">
      <c r="A124" s="56"/>
      <c r="B124" s="57"/>
      <c r="C124" s="57"/>
      <c r="D124" s="80"/>
      <c r="I124" s="119"/>
      <c r="J124" s="119"/>
    </row>
    <row r="125" ht="15.75" customHeight="1">
      <c r="A125" s="56"/>
      <c r="B125" s="57"/>
      <c r="C125" s="57"/>
      <c r="D125" s="80"/>
      <c r="I125" s="119"/>
      <c r="J125" s="119"/>
    </row>
    <row r="126" ht="15.75" customHeight="1">
      <c r="A126" s="56"/>
      <c r="B126" s="57"/>
      <c r="C126" s="57"/>
      <c r="D126" s="80"/>
      <c r="I126" s="119"/>
      <c r="J126" s="119"/>
    </row>
    <row r="127" ht="15.75" customHeight="1">
      <c r="A127" s="56"/>
      <c r="B127" s="57"/>
      <c r="C127" s="57"/>
      <c r="D127" s="80"/>
      <c r="I127" s="119"/>
      <c r="J127" s="119"/>
    </row>
    <row r="128" ht="15.75" customHeight="1">
      <c r="A128" s="56"/>
      <c r="B128" s="57"/>
      <c r="C128" s="57"/>
      <c r="D128" s="80"/>
      <c r="I128" s="119"/>
      <c r="J128" s="119"/>
    </row>
    <row r="129" ht="15.75" customHeight="1">
      <c r="A129" s="56"/>
      <c r="B129" s="57"/>
      <c r="C129" s="57"/>
      <c r="D129" s="80"/>
      <c r="I129" s="119"/>
      <c r="J129" s="119"/>
    </row>
    <row r="130" ht="15.75" customHeight="1">
      <c r="A130" s="56"/>
      <c r="B130" s="57"/>
      <c r="C130" s="57"/>
      <c r="D130" s="80"/>
      <c r="I130" s="119"/>
      <c r="J130" s="119"/>
    </row>
    <row r="131" ht="15.75" customHeight="1">
      <c r="A131" s="56"/>
      <c r="B131" s="57"/>
      <c r="C131" s="57"/>
      <c r="D131" s="80"/>
      <c r="I131" s="119"/>
      <c r="J131" s="119"/>
    </row>
    <row r="132" ht="15.75" customHeight="1">
      <c r="A132" s="56"/>
      <c r="B132" s="57"/>
      <c r="C132" s="57"/>
      <c r="D132" s="80"/>
      <c r="I132" s="119"/>
      <c r="J132" s="119"/>
    </row>
    <row r="133" ht="15.75" customHeight="1">
      <c r="A133" s="56"/>
      <c r="B133" s="57"/>
      <c r="C133" s="57"/>
      <c r="D133" s="80"/>
      <c r="I133" s="119"/>
      <c r="J133" s="119"/>
    </row>
    <row r="134" ht="15.75" customHeight="1">
      <c r="A134" s="56"/>
      <c r="B134" s="57"/>
      <c r="C134" s="57"/>
      <c r="D134" s="80"/>
      <c r="I134" s="119"/>
      <c r="J134" s="119"/>
    </row>
    <row r="135" ht="15.75" customHeight="1">
      <c r="A135" s="56"/>
      <c r="B135" s="57"/>
      <c r="C135" s="57"/>
      <c r="D135" s="80"/>
      <c r="I135" s="119"/>
      <c r="J135" s="119"/>
    </row>
    <row r="136" ht="15.75" customHeight="1">
      <c r="A136" s="56"/>
      <c r="B136" s="57"/>
      <c r="C136" s="57"/>
      <c r="D136" s="80"/>
      <c r="I136" s="119"/>
      <c r="J136" s="119"/>
    </row>
    <row r="137" ht="15.75" customHeight="1">
      <c r="A137" s="56"/>
      <c r="B137" s="57"/>
      <c r="C137" s="57"/>
      <c r="D137" s="80"/>
      <c r="I137" s="119"/>
      <c r="J137" s="119"/>
    </row>
    <row r="138" ht="15.75" customHeight="1">
      <c r="A138" s="56"/>
      <c r="B138" s="57"/>
      <c r="C138" s="57"/>
      <c r="D138" s="80"/>
      <c r="I138" s="119"/>
      <c r="J138" s="119"/>
    </row>
    <row r="139" ht="15.75" customHeight="1">
      <c r="A139" s="56"/>
      <c r="B139" s="57"/>
      <c r="C139" s="57"/>
      <c r="D139" s="80"/>
      <c r="I139" s="119"/>
      <c r="J139" s="119"/>
    </row>
    <row r="140" ht="15.75" customHeight="1">
      <c r="A140" s="56"/>
      <c r="B140" s="57"/>
      <c r="C140" s="57"/>
      <c r="D140" s="80"/>
      <c r="I140" s="119"/>
      <c r="J140" s="119"/>
    </row>
    <row r="141" ht="15.75" customHeight="1">
      <c r="A141" s="56"/>
      <c r="B141" s="57"/>
      <c r="C141" s="57"/>
      <c r="D141" s="80"/>
      <c r="I141" s="119"/>
      <c r="J141" s="119"/>
    </row>
    <row r="142" ht="15.75" customHeight="1">
      <c r="A142" s="56"/>
      <c r="B142" s="57"/>
      <c r="C142" s="57"/>
      <c r="D142" s="80"/>
      <c r="I142" s="119"/>
      <c r="J142" s="119"/>
    </row>
    <row r="143" ht="15.75" customHeight="1">
      <c r="A143" s="56"/>
      <c r="B143" s="57"/>
      <c r="C143" s="57"/>
      <c r="D143" s="80"/>
      <c r="I143" s="119"/>
      <c r="J143" s="119"/>
    </row>
    <row r="144" ht="15.75" customHeight="1">
      <c r="A144" s="56"/>
      <c r="B144" s="57"/>
      <c r="C144" s="57"/>
      <c r="D144" s="80"/>
      <c r="I144" s="119"/>
      <c r="J144" s="119"/>
    </row>
    <row r="145" ht="15.75" customHeight="1">
      <c r="A145" s="56"/>
      <c r="B145" s="57"/>
      <c r="C145" s="57"/>
      <c r="D145" s="80"/>
      <c r="I145" s="119"/>
      <c r="J145" s="119"/>
    </row>
    <row r="146" ht="15.75" customHeight="1">
      <c r="A146" s="56"/>
      <c r="B146" s="57"/>
      <c r="C146" s="57"/>
      <c r="D146" s="80"/>
      <c r="I146" s="119"/>
      <c r="J146" s="119"/>
    </row>
    <row r="147" ht="15.75" customHeight="1">
      <c r="A147" s="56"/>
      <c r="B147" s="57"/>
      <c r="C147" s="57"/>
      <c r="D147" s="80"/>
      <c r="I147" s="119"/>
      <c r="J147" s="119"/>
    </row>
    <row r="148" ht="15.75" customHeight="1">
      <c r="A148" s="56"/>
      <c r="B148" s="57"/>
      <c r="C148" s="57"/>
      <c r="D148" s="80"/>
      <c r="I148" s="119"/>
      <c r="J148" s="119"/>
    </row>
    <row r="149" ht="15.75" customHeight="1">
      <c r="A149" s="56"/>
      <c r="B149" s="57"/>
      <c r="C149" s="57"/>
      <c r="D149" s="80"/>
      <c r="I149" s="119"/>
      <c r="J149" s="119"/>
    </row>
    <row r="150" ht="15.75" customHeight="1">
      <c r="A150" s="56"/>
      <c r="B150" s="57"/>
      <c r="C150" s="57"/>
      <c r="D150" s="80"/>
      <c r="I150" s="119"/>
      <c r="J150" s="119"/>
    </row>
    <row r="151" ht="15.75" customHeight="1">
      <c r="A151" s="56"/>
      <c r="B151" s="57"/>
      <c r="C151" s="57"/>
      <c r="D151" s="80"/>
      <c r="I151" s="119"/>
      <c r="J151" s="119"/>
    </row>
    <row r="152" ht="15.75" customHeight="1">
      <c r="A152" s="56"/>
      <c r="B152" s="57"/>
      <c r="C152" s="57"/>
      <c r="D152" s="80"/>
      <c r="I152" s="119"/>
      <c r="J152" s="119"/>
    </row>
    <row r="153" ht="15.75" customHeight="1">
      <c r="A153" s="56"/>
      <c r="B153" s="57"/>
      <c r="C153" s="57"/>
      <c r="D153" s="80"/>
      <c r="I153" s="119"/>
      <c r="J153" s="119"/>
    </row>
    <row r="154" ht="15.75" customHeight="1">
      <c r="A154" s="56"/>
      <c r="B154" s="57"/>
      <c r="C154" s="57"/>
      <c r="D154" s="80"/>
      <c r="I154" s="119"/>
      <c r="J154" s="119"/>
    </row>
    <row r="155" ht="15.75" customHeight="1">
      <c r="A155" s="56"/>
      <c r="B155" s="57"/>
      <c r="C155" s="57"/>
      <c r="D155" s="80"/>
      <c r="I155" s="119"/>
      <c r="J155" s="119"/>
    </row>
    <row r="156" ht="15.75" customHeight="1">
      <c r="A156" s="56"/>
      <c r="B156" s="57"/>
      <c r="C156" s="57"/>
      <c r="D156" s="80"/>
      <c r="I156" s="119"/>
      <c r="J156" s="119"/>
    </row>
    <row r="157" ht="15.75" customHeight="1">
      <c r="A157" s="56"/>
      <c r="B157" s="57"/>
      <c r="C157" s="57"/>
      <c r="D157" s="80"/>
      <c r="I157" s="119"/>
      <c r="J157" s="119"/>
    </row>
    <row r="158" ht="15.75" customHeight="1">
      <c r="A158" s="56"/>
      <c r="B158" s="57"/>
      <c r="C158" s="57"/>
      <c r="D158" s="80"/>
      <c r="I158" s="119"/>
      <c r="J158" s="119"/>
    </row>
    <row r="159" ht="15.75" customHeight="1">
      <c r="A159" s="56"/>
      <c r="B159" s="57"/>
      <c r="C159" s="57"/>
      <c r="D159" s="80"/>
      <c r="I159" s="119"/>
      <c r="J159" s="119"/>
    </row>
    <row r="160" ht="15.75" customHeight="1">
      <c r="A160" s="56"/>
      <c r="B160" s="57"/>
      <c r="C160" s="57"/>
      <c r="D160" s="80"/>
      <c r="I160" s="119"/>
      <c r="J160" s="119"/>
    </row>
    <row r="161" ht="15.75" customHeight="1">
      <c r="A161" s="56"/>
      <c r="B161" s="57"/>
      <c r="C161" s="57"/>
      <c r="D161" s="80"/>
      <c r="I161" s="119"/>
      <c r="J161" s="119"/>
    </row>
    <row r="162" ht="15.75" customHeight="1">
      <c r="A162" s="56"/>
      <c r="B162" s="57"/>
      <c r="C162" s="57"/>
      <c r="D162" s="80"/>
      <c r="I162" s="119"/>
      <c r="J162" s="119"/>
    </row>
    <row r="163" ht="15.75" customHeight="1">
      <c r="A163" s="56"/>
      <c r="B163" s="57"/>
      <c r="C163" s="57"/>
      <c r="D163" s="80"/>
      <c r="I163" s="119"/>
      <c r="J163" s="119"/>
    </row>
    <row r="164" ht="15.75" customHeight="1">
      <c r="A164" s="56"/>
      <c r="B164" s="57"/>
      <c r="C164" s="57"/>
      <c r="D164" s="80"/>
      <c r="I164" s="119"/>
      <c r="J164" s="119"/>
    </row>
    <row r="165" ht="15.75" customHeight="1">
      <c r="A165" s="56"/>
      <c r="B165" s="57"/>
      <c r="C165" s="57"/>
      <c r="D165" s="80"/>
      <c r="I165" s="119"/>
      <c r="J165" s="119"/>
    </row>
    <row r="166" ht="15.75" customHeight="1">
      <c r="A166" s="56"/>
      <c r="B166" s="57"/>
      <c r="C166" s="57"/>
      <c r="D166" s="80"/>
      <c r="I166" s="119"/>
      <c r="J166" s="119"/>
    </row>
    <row r="167" ht="15.75" customHeight="1">
      <c r="A167" s="56"/>
      <c r="B167" s="57"/>
      <c r="C167" s="57"/>
      <c r="D167" s="80"/>
      <c r="I167" s="119"/>
      <c r="J167" s="119"/>
    </row>
    <row r="168" ht="15.75" customHeight="1">
      <c r="A168" s="56"/>
      <c r="B168" s="57"/>
      <c r="C168" s="57"/>
      <c r="D168" s="80"/>
      <c r="I168" s="119"/>
      <c r="J168" s="119"/>
    </row>
    <row r="169" ht="15.75" customHeight="1">
      <c r="A169" s="56"/>
      <c r="B169" s="57"/>
      <c r="C169" s="57"/>
      <c r="D169" s="80"/>
      <c r="I169" s="119"/>
      <c r="J169" s="119"/>
    </row>
    <row r="170" ht="15.75" customHeight="1">
      <c r="A170" s="56"/>
      <c r="B170" s="57"/>
      <c r="C170" s="57"/>
      <c r="D170" s="80"/>
      <c r="I170" s="119"/>
      <c r="J170" s="119"/>
    </row>
    <row r="171" ht="15.75" customHeight="1">
      <c r="A171" s="56"/>
      <c r="B171" s="57"/>
      <c r="C171" s="57"/>
      <c r="D171" s="80"/>
      <c r="I171" s="119"/>
      <c r="J171" s="119"/>
    </row>
    <row r="172" ht="15.75" customHeight="1">
      <c r="A172" s="56"/>
      <c r="B172" s="57"/>
      <c r="C172" s="57"/>
      <c r="D172" s="80"/>
      <c r="I172" s="119"/>
      <c r="J172" s="119"/>
    </row>
    <row r="173" ht="15.75" customHeight="1">
      <c r="A173" s="56"/>
      <c r="B173" s="57"/>
      <c r="C173" s="57"/>
      <c r="D173" s="80"/>
      <c r="I173" s="119"/>
      <c r="J173" s="119"/>
    </row>
    <row r="174" ht="15.75" customHeight="1">
      <c r="A174" s="56"/>
      <c r="B174" s="57"/>
      <c r="C174" s="57"/>
      <c r="D174" s="80"/>
      <c r="I174" s="119"/>
      <c r="J174" s="119"/>
    </row>
    <row r="175" ht="15.75" customHeight="1">
      <c r="A175" s="56"/>
      <c r="B175" s="57"/>
      <c r="C175" s="57"/>
      <c r="D175" s="80"/>
      <c r="I175" s="119"/>
      <c r="J175" s="119"/>
    </row>
    <row r="176" ht="15.75" customHeight="1">
      <c r="A176" s="56"/>
      <c r="B176" s="57"/>
      <c r="C176" s="57"/>
      <c r="D176" s="80"/>
      <c r="I176" s="119"/>
      <c r="J176" s="119"/>
    </row>
    <row r="177" ht="15.75" customHeight="1">
      <c r="A177" s="56"/>
      <c r="B177" s="57"/>
      <c r="C177" s="57"/>
      <c r="D177" s="80"/>
      <c r="I177" s="119"/>
      <c r="J177" s="119"/>
    </row>
    <row r="178" ht="15.75" customHeight="1">
      <c r="A178" s="56"/>
      <c r="B178" s="57"/>
      <c r="C178" s="57"/>
      <c r="D178" s="80"/>
      <c r="I178" s="119"/>
      <c r="J178" s="119"/>
    </row>
    <row r="179" ht="15.75" customHeight="1">
      <c r="A179" s="56"/>
      <c r="B179" s="57"/>
      <c r="C179" s="57"/>
      <c r="D179" s="80"/>
      <c r="I179" s="119"/>
      <c r="J179" s="119"/>
    </row>
    <row r="180" ht="15.75" customHeight="1">
      <c r="A180" s="56"/>
      <c r="B180" s="57"/>
      <c r="C180" s="57"/>
      <c r="D180" s="80"/>
      <c r="I180" s="119"/>
      <c r="J180" s="119"/>
    </row>
    <row r="181" ht="15.75" customHeight="1">
      <c r="A181" s="56"/>
      <c r="B181" s="57"/>
      <c r="C181" s="57"/>
      <c r="D181" s="80"/>
      <c r="I181" s="119"/>
      <c r="J181" s="119"/>
    </row>
    <row r="182" ht="15.75" customHeight="1">
      <c r="A182" s="56"/>
      <c r="B182" s="57"/>
      <c r="C182" s="57"/>
      <c r="D182" s="80"/>
      <c r="I182" s="119"/>
      <c r="J182" s="119"/>
    </row>
    <row r="183" ht="15.75" customHeight="1">
      <c r="A183" s="56"/>
      <c r="B183" s="57"/>
      <c r="C183" s="57"/>
      <c r="D183" s="80"/>
      <c r="I183" s="119"/>
      <c r="J183" s="119"/>
    </row>
    <row r="184" ht="15.75" customHeight="1">
      <c r="A184" s="56"/>
      <c r="B184" s="57"/>
      <c r="C184" s="57"/>
      <c r="D184" s="80"/>
      <c r="I184" s="119"/>
      <c r="J184" s="119"/>
    </row>
    <row r="185" ht="15.75" customHeight="1">
      <c r="A185" s="56"/>
      <c r="B185" s="57"/>
      <c r="C185" s="57"/>
      <c r="D185" s="80"/>
      <c r="I185" s="119"/>
      <c r="J185" s="119"/>
    </row>
    <row r="186" ht="15.75" customHeight="1">
      <c r="A186" s="56"/>
      <c r="B186" s="57"/>
      <c r="C186" s="57"/>
      <c r="D186" s="80"/>
      <c r="I186" s="119"/>
      <c r="J186" s="119"/>
    </row>
    <row r="187" ht="15.75" customHeight="1">
      <c r="A187" s="56"/>
      <c r="B187" s="57"/>
      <c r="C187" s="57"/>
      <c r="D187" s="80"/>
      <c r="I187" s="119"/>
      <c r="J187" s="119"/>
    </row>
    <row r="188" ht="15.75" customHeight="1">
      <c r="A188" s="56"/>
      <c r="B188" s="57"/>
      <c r="C188" s="57"/>
      <c r="D188" s="80"/>
      <c r="I188" s="119"/>
      <c r="J188" s="119"/>
    </row>
    <row r="189" ht="15.75" customHeight="1">
      <c r="A189" s="56"/>
      <c r="B189" s="57"/>
      <c r="C189" s="57"/>
      <c r="D189" s="80"/>
      <c r="I189" s="119"/>
      <c r="J189" s="119"/>
    </row>
    <row r="190" ht="15.75" customHeight="1">
      <c r="A190" s="56"/>
      <c r="B190" s="57"/>
      <c r="C190" s="57"/>
      <c r="D190" s="80"/>
      <c r="I190" s="119"/>
      <c r="J190" s="119"/>
    </row>
    <row r="191" ht="15.75" customHeight="1">
      <c r="A191" s="56"/>
      <c r="B191" s="57"/>
      <c r="C191" s="57"/>
      <c r="D191" s="80"/>
      <c r="I191" s="119"/>
      <c r="J191" s="119"/>
    </row>
    <row r="192" ht="15.75" customHeight="1">
      <c r="A192" s="56"/>
      <c r="B192" s="57"/>
      <c r="C192" s="57"/>
      <c r="D192" s="80"/>
      <c r="I192" s="119"/>
      <c r="J192" s="119"/>
    </row>
    <row r="193" ht="15.75" customHeight="1">
      <c r="A193" s="56"/>
      <c r="B193" s="57"/>
      <c r="C193" s="57"/>
      <c r="D193" s="80"/>
      <c r="I193" s="119"/>
      <c r="J193" s="119"/>
    </row>
    <row r="194" ht="15.75" customHeight="1">
      <c r="A194" s="56"/>
      <c r="B194" s="57"/>
      <c r="C194" s="57"/>
      <c r="D194" s="80"/>
      <c r="I194" s="119"/>
      <c r="J194" s="119"/>
    </row>
    <row r="195" ht="15.75" customHeight="1">
      <c r="A195" s="56"/>
      <c r="B195" s="57"/>
      <c r="C195" s="57"/>
      <c r="D195" s="80"/>
      <c r="I195" s="119"/>
      <c r="J195" s="119"/>
    </row>
    <row r="196" ht="15.75" customHeight="1">
      <c r="A196" s="56"/>
      <c r="B196" s="57"/>
      <c r="C196" s="57"/>
      <c r="D196" s="80"/>
      <c r="I196" s="119"/>
      <c r="J196" s="119"/>
    </row>
    <row r="197" ht="15.75" customHeight="1">
      <c r="A197" s="56"/>
      <c r="B197" s="57"/>
      <c r="C197" s="57"/>
      <c r="D197" s="80"/>
      <c r="I197" s="119"/>
      <c r="J197" s="119"/>
    </row>
    <row r="198" ht="15.75" customHeight="1">
      <c r="A198" s="56"/>
      <c r="B198" s="57"/>
      <c r="C198" s="57"/>
      <c r="D198" s="80"/>
      <c r="I198" s="119"/>
      <c r="J198" s="119"/>
    </row>
    <row r="199" ht="15.75" customHeight="1">
      <c r="A199" s="56"/>
      <c r="B199" s="57"/>
      <c r="C199" s="57"/>
      <c r="D199" s="80"/>
      <c r="I199" s="119"/>
      <c r="J199" s="119"/>
    </row>
    <row r="200" ht="15.75" customHeight="1">
      <c r="A200" s="56"/>
      <c r="B200" s="57"/>
      <c r="C200" s="57"/>
      <c r="D200" s="80"/>
      <c r="I200" s="119"/>
      <c r="J200" s="119"/>
    </row>
    <row r="201" ht="15.75" customHeight="1">
      <c r="A201" s="56"/>
      <c r="B201" s="57"/>
      <c r="C201" s="57"/>
      <c r="D201" s="80"/>
      <c r="I201" s="119"/>
      <c r="J201" s="119"/>
    </row>
    <row r="202" ht="15.75" customHeight="1">
      <c r="A202" s="56"/>
      <c r="B202" s="57"/>
      <c r="C202" s="57"/>
      <c r="D202" s="80"/>
      <c r="I202" s="119"/>
      <c r="J202" s="119"/>
    </row>
    <row r="203" ht="15.75" customHeight="1">
      <c r="A203" s="56"/>
      <c r="B203" s="57"/>
      <c r="C203" s="57"/>
      <c r="D203" s="80"/>
      <c r="I203" s="119"/>
      <c r="J203" s="119"/>
    </row>
    <row r="204" ht="15.75" customHeight="1">
      <c r="A204" s="56"/>
      <c r="B204" s="57"/>
      <c r="C204" s="57"/>
      <c r="D204" s="80"/>
      <c r="I204" s="119"/>
      <c r="J204" s="119"/>
    </row>
    <row r="205" ht="15.75" customHeight="1">
      <c r="A205" s="56"/>
      <c r="B205" s="57"/>
      <c r="C205" s="57"/>
      <c r="D205" s="80"/>
      <c r="I205" s="119"/>
      <c r="J205" s="119"/>
    </row>
    <row r="206" ht="15.75" customHeight="1">
      <c r="A206" s="56"/>
      <c r="B206" s="57"/>
      <c r="C206" s="57"/>
      <c r="D206" s="80"/>
      <c r="I206" s="119"/>
      <c r="J206" s="119"/>
    </row>
    <row r="207" ht="15.75" customHeight="1">
      <c r="A207" s="56"/>
      <c r="B207" s="57"/>
      <c r="C207" s="57"/>
      <c r="D207" s="80"/>
      <c r="I207" s="119"/>
      <c r="J207" s="119"/>
    </row>
    <row r="208" ht="15.75" customHeight="1">
      <c r="A208" s="56"/>
      <c r="B208" s="57"/>
      <c r="C208" s="57"/>
      <c r="D208" s="80"/>
      <c r="I208" s="119"/>
      <c r="J208" s="119"/>
    </row>
    <row r="209" ht="15.75" customHeight="1">
      <c r="A209" s="56"/>
      <c r="B209" s="57"/>
      <c r="C209" s="57"/>
      <c r="D209" s="80"/>
      <c r="I209" s="119"/>
      <c r="J209" s="119"/>
    </row>
    <row r="210" ht="15.75" customHeight="1">
      <c r="A210" s="56"/>
      <c r="B210" s="57"/>
      <c r="C210" s="57"/>
      <c r="D210" s="80"/>
      <c r="I210" s="119"/>
      <c r="J210" s="119"/>
    </row>
    <row r="211" ht="15.75" customHeight="1">
      <c r="A211" s="56"/>
      <c r="B211" s="57"/>
      <c r="C211" s="57"/>
      <c r="D211" s="80"/>
      <c r="I211" s="119"/>
      <c r="J211" s="119"/>
    </row>
    <row r="212" ht="15.75" customHeight="1">
      <c r="A212" s="56"/>
      <c r="B212" s="57"/>
      <c r="C212" s="57"/>
      <c r="D212" s="80"/>
      <c r="I212" s="119"/>
      <c r="J212" s="119"/>
    </row>
    <row r="213" ht="15.75" customHeight="1">
      <c r="A213" s="56"/>
      <c r="B213" s="57"/>
      <c r="C213" s="57"/>
      <c r="D213" s="80"/>
      <c r="I213" s="119"/>
      <c r="J213" s="119"/>
    </row>
    <row r="214" ht="15.75" customHeight="1">
      <c r="A214" s="56"/>
      <c r="B214" s="57"/>
      <c r="C214" s="57"/>
      <c r="D214" s="80"/>
      <c r="I214" s="119"/>
      <c r="J214" s="119"/>
    </row>
    <row r="215" ht="15.75" customHeight="1">
      <c r="A215" s="56"/>
      <c r="B215" s="57"/>
      <c r="C215" s="57"/>
      <c r="D215" s="80"/>
      <c r="I215" s="119"/>
      <c r="J215" s="119"/>
    </row>
    <row r="216" ht="15.75" customHeight="1">
      <c r="A216" s="56"/>
      <c r="B216" s="57"/>
      <c r="C216" s="57"/>
      <c r="D216" s="80"/>
      <c r="I216" s="119"/>
      <c r="J216" s="119"/>
    </row>
    <row r="217" ht="15.75" customHeight="1">
      <c r="A217" s="56"/>
      <c r="B217" s="57"/>
      <c r="C217" s="57"/>
      <c r="D217" s="80"/>
      <c r="I217" s="119"/>
      <c r="J217" s="119"/>
    </row>
    <row r="218" ht="15.75" customHeight="1">
      <c r="A218" s="56"/>
      <c r="B218" s="57"/>
      <c r="C218" s="57"/>
      <c r="D218" s="80"/>
      <c r="I218" s="119"/>
      <c r="J218" s="119"/>
    </row>
    <row r="219" ht="15.75" customHeight="1">
      <c r="A219" s="56"/>
      <c r="B219" s="57"/>
      <c r="C219" s="57"/>
      <c r="D219" s="80"/>
      <c r="I219" s="119"/>
      <c r="J219" s="119"/>
    </row>
    <row r="220" ht="15.75" customHeight="1">
      <c r="A220" s="56"/>
      <c r="B220" s="57"/>
      <c r="C220" s="57"/>
      <c r="D220" s="80"/>
      <c r="I220" s="119"/>
      <c r="J220" s="119"/>
    </row>
    <row r="221" ht="15.75" customHeight="1">
      <c r="A221" s="56"/>
      <c r="B221" s="57"/>
      <c r="C221" s="57"/>
      <c r="D221" s="80"/>
      <c r="I221" s="119"/>
      <c r="J221" s="119"/>
    </row>
    <row r="222" ht="15.75" customHeight="1">
      <c r="A222" s="56"/>
      <c r="B222" s="57"/>
      <c r="C222" s="57"/>
      <c r="D222" s="80"/>
      <c r="I222" s="119"/>
      <c r="J222" s="119"/>
    </row>
    <row r="223" ht="15.75" customHeight="1">
      <c r="A223" s="56"/>
      <c r="B223" s="57"/>
      <c r="C223" s="57"/>
      <c r="D223" s="80"/>
      <c r="I223" s="119"/>
      <c r="J223" s="119"/>
    </row>
    <row r="224" ht="15.75" customHeight="1">
      <c r="A224" s="56"/>
      <c r="B224" s="57"/>
      <c r="C224" s="57"/>
      <c r="D224" s="80"/>
      <c r="I224" s="119"/>
      <c r="J224" s="119"/>
    </row>
    <row r="225" ht="15.75" customHeight="1">
      <c r="A225" s="56"/>
      <c r="B225" s="57"/>
      <c r="C225" s="57"/>
      <c r="D225" s="80"/>
      <c r="I225" s="119"/>
      <c r="J225" s="119"/>
    </row>
    <row r="226" ht="15.75" customHeight="1">
      <c r="A226" s="56"/>
      <c r="B226" s="57"/>
      <c r="C226" s="57"/>
      <c r="D226" s="80"/>
      <c r="I226" s="119"/>
      <c r="J226" s="119"/>
    </row>
    <row r="227" ht="15.75" customHeight="1">
      <c r="A227" s="56"/>
      <c r="B227" s="57"/>
      <c r="C227" s="57"/>
      <c r="D227" s="80"/>
      <c r="I227" s="119"/>
      <c r="J227" s="119"/>
    </row>
    <row r="228" ht="15.75" customHeight="1">
      <c r="A228" s="56"/>
      <c r="B228" s="57"/>
      <c r="C228" s="57"/>
      <c r="D228" s="80"/>
      <c r="I228" s="119"/>
      <c r="J228" s="119"/>
    </row>
    <row r="229" ht="15.75" customHeight="1">
      <c r="A229" s="56"/>
      <c r="B229" s="57"/>
      <c r="C229" s="57"/>
      <c r="D229" s="80"/>
      <c r="I229" s="119"/>
      <c r="J229" s="119"/>
    </row>
    <row r="230" ht="15.75" customHeight="1">
      <c r="A230" s="56"/>
      <c r="B230" s="57"/>
      <c r="C230" s="57"/>
      <c r="D230" s="80"/>
      <c r="I230" s="119"/>
      <c r="J230" s="119"/>
    </row>
    <row r="231" ht="15.75" customHeight="1">
      <c r="A231" s="56"/>
      <c r="B231" s="57"/>
      <c r="C231" s="57"/>
      <c r="D231" s="80"/>
      <c r="I231" s="119"/>
      <c r="J231" s="119"/>
    </row>
    <row r="232" ht="15.75" customHeight="1">
      <c r="A232" s="56"/>
      <c r="B232" s="57"/>
      <c r="C232" s="57"/>
      <c r="D232" s="80"/>
      <c r="I232" s="119"/>
      <c r="J232" s="119"/>
    </row>
    <row r="233" ht="15.75" customHeight="1">
      <c r="A233" s="56"/>
      <c r="B233" s="57"/>
      <c r="C233" s="57"/>
      <c r="D233" s="80"/>
      <c r="I233" s="119"/>
      <c r="J233" s="119"/>
    </row>
    <row r="234" ht="15.75" customHeight="1">
      <c r="A234" s="56"/>
      <c r="B234" s="57"/>
      <c r="C234" s="57"/>
      <c r="D234" s="80"/>
      <c r="I234" s="119"/>
      <c r="J234" s="119"/>
    </row>
    <row r="235" ht="15.75" customHeight="1">
      <c r="A235" s="56"/>
      <c r="B235" s="57"/>
      <c r="C235" s="57"/>
      <c r="D235" s="80"/>
      <c r="I235" s="119"/>
      <c r="J235" s="119"/>
    </row>
    <row r="236" ht="15.75" customHeight="1">
      <c r="A236" s="56"/>
      <c r="B236" s="57"/>
      <c r="C236" s="57"/>
      <c r="D236" s="80"/>
      <c r="I236" s="119"/>
      <c r="J236" s="119"/>
    </row>
    <row r="237" ht="15.75" customHeight="1">
      <c r="A237" s="56"/>
      <c r="B237" s="57"/>
      <c r="C237" s="57"/>
      <c r="D237" s="80"/>
      <c r="I237" s="119"/>
      <c r="J237" s="119"/>
    </row>
    <row r="238" ht="15.75" customHeight="1">
      <c r="A238" s="56"/>
      <c r="B238" s="57"/>
      <c r="C238" s="57"/>
      <c r="D238" s="80"/>
      <c r="I238" s="119"/>
      <c r="J238" s="119"/>
    </row>
    <row r="239" ht="15.75" customHeight="1">
      <c r="A239" s="56"/>
      <c r="B239" s="57"/>
      <c r="C239" s="57"/>
      <c r="D239" s="80"/>
      <c r="I239" s="119"/>
      <c r="J239" s="119"/>
    </row>
    <row r="240" ht="15.75" customHeight="1">
      <c r="A240" s="56"/>
      <c r="B240" s="57"/>
      <c r="C240" s="57"/>
      <c r="D240" s="80"/>
      <c r="I240" s="119"/>
      <c r="J240" s="119"/>
    </row>
    <row r="241" ht="15.75" customHeight="1">
      <c r="A241" s="56"/>
      <c r="B241" s="57"/>
      <c r="C241" s="57"/>
      <c r="D241" s="80"/>
      <c r="I241" s="119"/>
      <c r="J241" s="119"/>
    </row>
    <row r="242" ht="15.75" customHeight="1">
      <c r="A242" s="56"/>
      <c r="B242" s="57"/>
      <c r="C242" s="57"/>
      <c r="D242" s="80"/>
      <c r="I242" s="119"/>
      <c r="J242" s="119"/>
    </row>
    <row r="243" ht="15.75" customHeight="1">
      <c r="A243" s="56"/>
      <c r="B243" s="57"/>
      <c r="C243" s="57"/>
      <c r="D243" s="80"/>
      <c r="I243" s="119"/>
      <c r="J243" s="119"/>
    </row>
    <row r="244" ht="15.75" customHeight="1">
      <c r="A244" s="56"/>
      <c r="B244" s="57"/>
      <c r="C244" s="57"/>
      <c r="D244" s="80"/>
      <c r="I244" s="119"/>
      <c r="J244" s="119"/>
    </row>
    <row r="245" ht="15.75" customHeight="1">
      <c r="A245" s="56"/>
      <c r="B245" s="57"/>
      <c r="C245" s="57"/>
      <c r="D245" s="80"/>
      <c r="I245" s="119"/>
      <c r="J245" s="119"/>
    </row>
    <row r="246" ht="15.75" customHeight="1">
      <c r="A246" s="56"/>
      <c r="B246" s="57"/>
      <c r="C246" s="57"/>
      <c r="D246" s="80"/>
      <c r="I246" s="119"/>
      <c r="J246" s="119"/>
    </row>
    <row r="247" ht="15.75" customHeight="1">
      <c r="A247" s="56"/>
      <c r="B247" s="57"/>
      <c r="C247" s="57"/>
      <c r="D247" s="80"/>
      <c r="I247" s="119"/>
      <c r="J247" s="119"/>
    </row>
    <row r="248" ht="15.75" customHeight="1">
      <c r="A248" s="56"/>
      <c r="B248" s="57"/>
      <c r="C248" s="57"/>
      <c r="D248" s="80"/>
      <c r="I248" s="119"/>
      <c r="J248" s="119"/>
    </row>
    <row r="249" ht="15.75" customHeight="1">
      <c r="A249" s="56"/>
      <c r="B249" s="57"/>
      <c r="C249" s="57"/>
      <c r="D249" s="80"/>
      <c r="I249" s="119"/>
      <c r="J249" s="11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49">
    <sortState ref="A3:F49">
      <sortCondition ref="B3:B49"/>
      <sortCondition ref="A3:A49"/>
      <sortCondition ref="D3:D49"/>
    </sortState>
  </autoFilter>
  <mergeCells count="5">
    <mergeCell ref="G1:H1"/>
    <mergeCell ref="I1:J1"/>
    <mergeCell ref="G2:H2"/>
    <mergeCell ref="I2:J2"/>
    <mergeCell ref="I3:J3"/>
  </mergeCells>
  <conditionalFormatting sqref="A4:A49 C45:C49">
    <cfRule type="cellIs" dxfId="0" priority="1" operator="equal">
      <formula>"ARMA"</formula>
    </cfRule>
  </conditionalFormatting>
  <conditionalFormatting sqref="A4:A49 C45:C49">
    <cfRule type="cellIs" dxfId="1" priority="2" operator="equal">
      <formula>"MUNIÇÃO"</formula>
    </cfRule>
  </conditionalFormatting>
  <conditionalFormatting sqref="A4:A49 C45:C49">
    <cfRule type="cellIs" dxfId="2" priority="3" operator="equal">
      <formula>"BASEADO"</formula>
    </cfRule>
  </conditionalFormatting>
  <conditionalFormatting sqref="A4:A49 C45:C49">
    <cfRule type="cellIs" dxfId="3" priority="4" operator="equal">
      <formula>"COCAINA"</formula>
    </cfRule>
  </conditionalFormatting>
  <conditionalFormatting sqref="A4:A49 C45:C49">
    <cfRule type="cellIs" dxfId="4" priority="5" operator="equal">
      <formula>"DESMANCHE"</formula>
    </cfRule>
  </conditionalFormatting>
  <conditionalFormatting sqref="A4:A49 C45:C49">
    <cfRule type="cellIs" dxfId="5" priority="6" operator="equal">
      <formula>"LAVAGEM"</formula>
    </cfRule>
  </conditionalFormatting>
  <conditionalFormatting sqref="D8:D15">
    <cfRule type="cellIs" dxfId="6" priority="7" operator="equal">
      <formula>"ENTREGUE"</formula>
    </cfRule>
  </conditionalFormatting>
  <dataValidations>
    <dataValidation type="list" allowBlank="1" showErrorMessage="1" sqref="D4:D49">
      <formula1>"ENTREGUE,LIVRE,RESERVADO,AGUARDANDO,COMERCIAL"</formula1>
    </dataValidation>
  </dataValidations>
  <hyperlinks>
    <hyperlink display="LEGIÃO BLACK" location="'LEGIÃO BLACK'!A1" ref="C4"/>
    <hyperlink display="CAMPINHO" location="CAMPINHO!A1" ref="C5"/>
    <hyperlink display="GRECIA" location="'GRÉCIA'!A1" ref="C6"/>
    <hyperlink display="ROSAS" location="ROSAS!A1" ref="C7"/>
    <hyperlink display="JAPÃO" location="'JAPÃO'!A1" ref="C8"/>
    <hyperlink display="ARGENTINA" location="'ARGENTINA '!A1" ref="C9"/>
    <hyperlink display="AZUIS" location="AZUIS!A1" ref="C10"/>
    <hyperlink display="RUSSIA" location="RUSSIA!A1" ref="C11"/>
    <hyperlink display="FRANÇA" location="'FRANÇA'!A1" ref="C12"/>
    <hyperlink display="PEDREIRA" location="PEDREIRA!A1" ref="C13"/>
    <hyperlink display="ITALIA" location="'ITÁLIA'!A1" ref="C14"/>
    <hyperlink display="PALAZZO" location="PALAZZO!A1" ref="C15"/>
    <hyperlink display="NOXUS" location="NOXUS!A1" ref="C16"/>
    <hyperlink display="GRINGA" location="GRINGA!A1" ref="C17"/>
    <hyperlink display="ROXOS" location="'ROXOS '!A1" ref="C18"/>
    <hyperlink display="TROPA DO TWIZZY" location="'TROPA DO TWIZZY'!A1" ref="C19"/>
    <hyperlink display="TRALHAS" location="TRALHAS!A1" ref="C20"/>
    <hyperlink display="MORRO DO SANTÃO" location="'MORRO SANTÃO '!A1" ref="C21"/>
    <hyperlink display="EGITO" location="'EGITO '!A1" ref="C22"/>
    <hyperlink display="CANADA" location="CANADA!A1" ref="C23"/>
    <hyperlink display="COREIA" location="'COREIA '!A1" ref="C24"/>
    <hyperlink display="ALEMANHA" location="'ALEMANHA '!A1" ref="C25"/>
    <hyperlink display="CALIFORNIA" location="'CALIFORNIA '!A1" ref="C26"/>
    <hyperlink display="BERLIM" location="'BERLIM '!A1" ref="C27"/>
    <hyperlink display="LARANJAS" location="'LARANJAS '!A1" ref="C28"/>
    <hyperlink display="HOLLYWOOD" location="'HOLLYWOOD '!A1" ref="C29"/>
    <hyperlink display="ESPANHA" location="'ESPANHA '!A1" ref="C30"/>
    <hyperlink display="MEDELLIM" location="MEDELLIN!A1" ref="C31"/>
    <hyperlink display="COLOMBIA" location="'COLÔMBIA'!A1" ref="C32"/>
    <hyperlink display="PCJ" location="'PCJ '!A1" ref="C33"/>
    <hyperlink display="BENNYS" location="BENNYS!A1" ref="C34"/>
    <hyperlink display="BANZAS" location="BANZAS!A1" ref="C35"/>
    <hyperlink display="MOSCOU" location="'MOSCOU '!A1" ref="C36"/>
    <hyperlink display="PORTUGAL" location="'PORTUGAL '!A1" ref="C37"/>
    <hyperlink display="SINALOA" location="'SINALOA '!A1" ref="C38"/>
    <hyperlink display="BROOKLYN" location="'BROOKLYN '!A1" ref="C39"/>
    <hyperlink display="GROVE" location="GROVE!A1" ref="C40"/>
    <hyperlink display="CHERNOBYL" location="'CHERNOBYL '!A1" ref="C41"/>
    <hyperlink display="DUBAI" location="DUBAI!A1" ref="C42"/>
    <hyperlink display="FAZENDINHA" location="FAZENDINHA!A1" ref="C43"/>
    <hyperlink display="REDLINE" location="'REDLINE '!A1" ref="C44"/>
    <hyperlink display="SUIÇA" location="'SUIÇA'!A1" ref="C45"/>
    <hyperlink display="TEQUILAS" location="'TEQUILAS '!A1" ref="C46"/>
    <hyperlink display="YAKUZA" location="YAKUZA!A1" ref="C47"/>
    <hyperlink display="CROACIA" location="'CROACIA '!A1" ref="C48"/>
    <hyperlink display="CAPELINHA" location="'CAPELINHA '!A1" ref="C49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26.13"/>
    <col customWidth="1" min="5" max="5" width="31.88"/>
    <col customWidth="1" min="6" max="6" width="21.5"/>
  </cols>
  <sheetData>
    <row r="1" ht="15.75" customHeight="1">
      <c r="A1" s="134" t="s">
        <v>463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466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41" t="s">
        <v>468</v>
      </c>
      <c r="C3" s="142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471</v>
      </c>
      <c r="C5" s="26"/>
      <c r="D5" s="148" t="s">
        <v>472</v>
      </c>
      <c r="E5" s="148" t="s">
        <v>473</v>
      </c>
      <c r="F5" s="148" t="s">
        <v>474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223.0</v>
      </c>
      <c r="E6" s="150">
        <v>224.0</v>
      </c>
      <c r="F6" s="150">
        <v>225.0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477</v>
      </c>
      <c r="C7" s="26"/>
      <c r="D7" s="7"/>
      <c r="E7" s="7"/>
      <c r="F7" s="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479</v>
      </c>
      <c r="C8" s="26"/>
      <c r="D8" s="143"/>
      <c r="E8" s="143"/>
      <c r="F8" s="143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481</v>
      </c>
      <c r="C9" s="26"/>
      <c r="D9" s="152" t="s">
        <v>482</v>
      </c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487</v>
      </c>
      <c r="C11" s="26"/>
      <c r="D11" s="154" t="s">
        <v>488</v>
      </c>
      <c r="E11" s="25"/>
      <c r="F11" s="26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489</v>
      </c>
      <c r="B12" s="25"/>
      <c r="C12" s="26"/>
      <c r="D12" s="155" t="s">
        <v>315</v>
      </c>
      <c r="E12" s="156" t="s">
        <v>260</v>
      </c>
      <c r="F12" s="156">
        <v>104.0</v>
      </c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8" t="s">
        <v>490</v>
      </c>
      <c r="B13" s="151" t="s">
        <v>491</v>
      </c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21.75" customHeight="1">
      <c r="A14" s="138" t="s">
        <v>493</v>
      </c>
      <c r="B14" s="151" t="s">
        <v>494</v>
      </c>
      <c r="C14" s="26"/>
      <c r="D14" s="155" t="s">
        <v>495</v>
      </c>
      <c r="E14" s="156" t="s">
        <v>496</v>
      </c>
      <c r="F14" s="156">
        <v>1289.0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4" t="s">
        <v>497</v>
      </c>
      <c r="B15" s="25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46" t="s">
        <v>499</v>
      </c>
      <c r="B16" s="147" t="s">
        <v>500</v>
      </c>
      <c r="C16" s="26"/>
      <c r="D16" s="155" t="s">
        <v>501</v>
      </c>
      <c r="E16" s="156" t="s">
        <v>502</v>
      </c>
      <c r="F16" s="156">
        <v>6352.0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38" t="s">
        <v>503</v>
      </c>
      <c r="B17" s="151" t="s">
        <v>504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4" t="s">
        <v>506</v>
      </c>
      <c r="B18" s="25"/>
      <c r="C18" s="26"/>
      <c r="D18" s="155" t="s">
        <v>507</v>
      </c>
      <c r="E18" s="156" t="s">
        <v>508</v>
      </c>
      <c r="F18" s="156">
        <v>8747.0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509</v>
      </c>
      <c r="B19" s="151" t="s">
        <v>510</v>
      </c>
      <c r="C19" s="26"/>
      <c r="D19" s="156"/>
      <c r="E19" s="156"/>
      <c r="F19" s="156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44" t="s">
        <v>511</v>
      </c>
      <c r="B20" s="25"/>
      <c r="C20" s="26"/>
      <c r="D20" s="134" t="s">
        <v>512</v>
      </c>
      <c r="E20" s="25"/>
      <c r="F20" s="26"/>
      <c r="G20" s="137" t="s">
        <v>513</v>
      </c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514</v>
      </c>
      <c r="B21" s="151" t="s">
        <v>515</v>
      </c>
      <c r="C21" s="26"/>
      <c r="D21" s="157" t="s">
        <v>516</v>
      </c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517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518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C1"/>
    <mergeCell ref="D1:F2"/>
    <mergeCell ref="B2:C2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A12:C12"/>
    <mergeCell ref="B13:C13"/>
    <mergeCell ref="D13:F13"/>
    <mergeCell ref="B14:C14"/>
    <mergeCell ref="A20:C20"/>
    <mergeCell ref="D20:F20"/>
    <mergeCell ref="B21:C21"/>
    <mergeCell ref="D21:F26"/>
    <mergeCell ref="B22:C22"/>
    <mergeCell ref="B23:C23"/>
    <mergeCell ref="A15:C15"/>
    <mergeCell ref="D15:F15"/>
    <mergeCell ref="B16:C16"/>
    <mergeCell ref="B17:C17"/>
    <mergeCell ref="D17:F17"/>
    <mergeCell ref="A18:C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30.25"/>
  </cols>
  <sheetData>
    <row r="1" ht="15.75" customHeight="1">
      <c r="A1" s="134" t="s">
        <v>519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ht="15.75" customHeight="1">
      <c r="A2" s="138" t="s">
        <v>465</v>
      </c>
      <c r="B2" s="139" t="s">
        <v>520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ht="15.75" customHeight="1">
      <c r="A3" s="138" t="s">
        <v>467</v>
      </c>
      <c r="B3" s="159" t="s">
        <v>521</v>
      </c>
      <c r="C3" s="151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ht="15.75" customHeight="1">
      <c r="A4" s="144" t="s">
        <v>469</v>
      </c>
      <c r="B4" s="25"/>
      <c r="C4" s="26"/>
      <c r="D4" s="160" t="s">
        <v>311</v>
      </c>
      <c r="E4" s="140"/>
      <c r="F4" s="74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ht="15.75" customHeight="1">
      <c r="A5" s="146" t="s">
        <v>470</v>
      </c>
      <c r="B5" s="159" t="s">
        <v>522</v>
      </c>
      <c r="C5" s="146"/>
      <c r="D5" s="148" t="s">
        <v>472</v>
      </c>
      <c r="E5" s="148" t="s">
        <v>473</v>
      </c>
      <c r="F5" s="148" t="s">
        <v>474</v>
      </c>
      <c r="G5" s="137"/>
      <c r="H5" s="137"/>
      <c r="I5" s="137"/>
      <c r="J5" s="137"/>
      <c r="K5" s="137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</row>
    <row r="6" ht="15.75" customHeight="1">
      <c r="A6" s="134" t="s">
        <v>475</v>
      </c>
      <c r="B6" s="25"/>
      <c r="C6" s="26"/>
      <c r="D6" s="150">
        <v>110.0</v>
      </c>
      <c r="E6" s="150">
        <v>111.0</v>
      </c>
      <c r="F6" s="150">
        <v>112.0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</row>
    <row r="7" ht="15.75" customHeight="1">
      <c r="A7" s="138" t="s">
        <v>476</v>
      </c>
      <c r="B7" s="159" t="s">
        <v>523</v>
      </c>
      <c r="C7" s="138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</row>
    <row r="8" ht="15.75" customHeight="1">
      <c r="A8" s="138" t="s">
        <v>478</v>
      </c>
      <c r="B8" s="159" t="s">
        <v>524</v>
      </c>
      <c r="C8" s="151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</row>
    <row r="9" ht="15.75" customHeight="1">
      <c r="A9" s="138" t="s">
        <v>480</v>
      </c>
      <c r="B9" s="161" t="s">
        <v>525</v>
      </c>
      <c r="C9" s="138"/>
      <c r="D9" s="162" t="s">
        <v>482</v>
      </c>
      <c r="E9" s="140"/>
      <c r="F9" s="74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</row>
    <row r="11" ht="15.75" customHeight="1">
      <c r="A11" s="138" t="s">
        <v>486</v>
      </c>
      <c r="B11" s="161" t="s">
        <v>526</v>
      </c>
      <c r="C11" s="138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</row>
    <row r="12" ht="15.75" customHeight="1">
      <c r="A12" s="138" t="s">
        <v>527</v>
      </c>
      <c r="B12" s="161" t="s">
        <v>526</v>
      </c>
      <c r="C12" s="138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</row>
    <row r="14" ht="15.75" customHeight="1">
      <c r="A14" s="138" t="s">
        <v>490</v>
      </c>
      <c r="B14" s="163" t="s">
        <v>528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</row>
    <row r="15" ht="15.75" customHeight="1">
      <c r="A15" s="138" t="s">
        <v>493</v>
      </c>
      <c r="B15" s="163" t="s">
        <v>529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</row>
    <row r="17" ht="15.75" customHeight="1">
      <c r="A17" s="146" t="s">
        <v>530</v>
      </c>
      <c r="B17" s="163" t="s">
        <v>531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ht="15.75" customHeight="1">
      <c r="A18" s="134" t="s">
        <v>506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</row>
    <row r="19" ht="15.75" customHeight="1">
      <c r="A19" s="138" t="s">
        <v>509</v>
      </c>
      <c r="B19" s="161" t="s">
        <v>532</v>
      </c>
      <c r="C19" s="151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ht="15.75" customHeight="1">
      <c r="A20" s="144" t="s">
        <v>511</v>
      </c>
      <c r="B20" s="25"/>
      <c r="C20" s="26"/>
      <c r="D20" s="164" t="s">
        <v>512</v>
      </c>
      <c r="E20" s="140"/>
      <c r="F20" s="74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</row>
    <row r="21" ht="15.75" customHeight="1">
      <c r="A21" s="138" t="s">
        <v>514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</row>
    <row r="22" ht="15.75" customHeight="1">
      <c r="A22" s="138" t="s">
        <v>517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</row>
    <row r="23" ht="15.75" customHeight="1">
      <c r="A23" s="138" t="s">
        <v>518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6:E7"/>
    <mergeCell ref="F6:F7"/>
    <mergeCell ref="D9:F9"/>
    <mergeCell ref="A1:C1"/>
    <mergeCell ref="D1:F2"/>
    <mergeCell ref="B2:C2"/>
    <mergeCell ref="A4:C4"/>
    <mergeCell ref="D4:F4"/>
    <mergeCell ref="A6:C6"/>
    <mergeCell ref="D6:D7"/>
    <mergeCell ref="A10:C10"/>
    <mergeCell ref="D11:F11"/>
    <mergeCell ref="A13:C13"/>
    <mergeCell ref="D13:F13"/>
    <mergeCell ref="B14:C14"/>
    <mergeCell ref="B15:C15"/>
    <mergeCell ref="D15:F15"/>
    <mergeCell ref="B21:C21"/>
    <mergeCell ref="B22:C22"/>
    <mergeCell ref="A16:C16"/>
    <mergeCell ref="B17:C17"/>
    <mergeCell ref="D17:F17"/>
    <mergeCell ref="A18:C18"/>
    <mergeCell ref="A20:C20"/>
    <mergeCell ref="D20:F20"/>
    <mergeCell ref="D21:F26"/>
    <mergeCell ref="B23:C23"/>
  </mergeCells>
  <hyperlinks>
    <hyperlink display="&lt;== VOLTAR" location="'FACÇÕES NO GERAL'!A1" ref="D1"/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1.38"/>
  </cols>
  <sheetData>
    <row r="1" ht="15.75" customHeight="1">
      <c r="A1" s="134" t="s">
        <v>533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66" t="s">
        <v>534</v>
      </c>
      <c r="C2" s="138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1" t="s">
        <v>535</v>
      </c>
      <c r="C3" s="151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60" t="s">
        <v>311</v>
      </c>
      <c r="E4" s="140"/>
      <c r="F4" s="74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536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240.0</v>
      </c>
      <c r="E6" s="150">
        <v>241.0</v>
      </c>
      <c r="F6" s="150">
        <v>242.0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537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3" t="s">
        <v>538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3" t="s">
        <v>539</v>
      </c>
      <c r="C9" s="26"/>
      <c r="D9" s="162" t="s">
        <v>482</v>
      </c>
      <c r="E9" s="140"/>
      <c r="F9" s="74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3" t="s">
        <v>540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63" t="s">
        <v>540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3" t="s">
        <v>541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3" t="s">
        <v>542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63" t="s">
        <v>544</v>
      </c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3" t="s">
        <v>545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63" t="s">
        <v>547</v>
      </c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63" t="s">
        <v>549</v>
      </c>
      <c r="C20" s="26"/>
      <c r="D20" s="164" t="s">
        <v>512</v>
      </c>
      <c r="E20" s="140"/>
      <c r="F20" s="74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8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550</v>
      </c>
      <c r="B22" s="169" t="s">
        <v>551</v>
      </c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509</v>
      </c>
      <c r="B23" s="163" t="s">
        <v>552</v>
      </c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44" t="s">
        <v>511</v>
      </c>
      <c r="B24" s="25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514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517</v>
      </c>
      <c r="B26" s="151"/>
      <c r="C26" s="26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8" t="s">
        <v>518</v>
      </c>
      <c r="B27" s="151"/>
      <c r="C27" s="26"/>
      <c r="D27" s="73"/>
      <c r="E27" s="140"/>
      <c r="F27" s="74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E6:E7"/>
    <mergeCell ref="F6:F7"/>
    <mergeCell ref="D9:F9"/>
    <mergeCell ref="D11:F11"/>
    <mergeCell ref="D13:F13"/>
    <mergeCell ref="A1:C1"/>
    <mergeCell ref="D1:F2"/>
    <mergeCell ref="A4:C4"/>
    <mergeCell ref="D4:F4"/>
    <mergeCell ref="B5:C5"/>
    <mergeCell ref="A6:C6"/>
    <mergeCell ref="D6:D7"/>
    <mergeCell ref="B7:C7"/>
    <mergeCell ref="B8:C8"/>
    <mergeCell ref="B9:C9"/>
    <mergeCell ref="A10:C10"/>
    <mergeCell ref="B11:C11"/>
    <mergeCell ref="B12:C12"/>
    <mergeCell ref="A13:C13"/>
    <mergeCell ref="B14:C14"/>
    <mergeCell ref="B15:C15"/>
    <mergeCell ref="D15:F15"/>
    <mergeCell ref="B16:C16"/>
    <mergeCell ref="A17:C17"/>
    <mergeCell ref="D17:F17"/>
    <mergeCell ref="B18:C18"/>
    <mergeCell ref="A24:C24"/>
    <mergeCell ref="B25:C25"/>
    <mergeCell ref="B26:C26"/>
    <mergeCell ref="B27:C27"/>
    <mergeCell ref="B19:C19"/>
    <mergeCell ref="B20:C20"/>
    <mergeCell ref="D20:F20"/>
    <mergeCell ref="A21:C21"/>
    <mergeCell ref="D21:F27"/>
    <mergeCell ref="B22:C22"/>
    <mergeCell ref="B23:C23"/>
  </mergeCells>
  <hyperlinks>
    <hyperlink display="&lt;== VOLTAR" location="'FACÇÕES NO GERAL'!A1" ref="D1"/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51.75"/>
    <col customWidth="1" min="4" max="4" width="43.25"/>
    <col customWidth="1" min="5" max="5" width="35.63"/>
    <col customWidth="1" min="6" max="6" width="19.0"/>
  </cols>
  <sheetData>
    <row r="1" ht="15.75" customHeight="1">
      <c r="A1" s="170" t="s">
        <v>553</v>
      </c>
      <c r="B1" s="25"/>
      <c r="C1" s="26"/>
      <c r="D1" s="135" t="s">
        <v>464</v>
      </c>
      <c r="E1" s="136"/>
      <c r="F1" s="136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554</v>
      </c>
      <c r="C2" s="172"/>
      <c r="D2" s="66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555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5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/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140.0</v>
      </c>
      <c r="E6" s="150">
        <v>141.0</v>
      </c>
      <c r="F6" s="150">
        <v>142.0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556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557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558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559</v>
      </c>
      <c r="C11" s="26"/>
      <c r="D11" s="154" t="s">
        <v>488</v>
      </c>
      <c r="E11" s="25"/>
      <c r="F11" s="25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 t="s">
        <v>560</v>
      </c>
      <c r="E12" s="156" t="s">
        <v>561</v>
      </c>
      <c r="F12" s="156">
        <v>1200.0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5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562</v>
      </c>
      <c r="C14" s="74"/>
      <c r="D14" s="155" t="s">
        <v>563</v>
      </c>
      <c r="E14" s="156" t="s">
        <v>564</v>
      </c>
      <c r="F14" s="156">
        <v>1210.0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565</v>
      </c>
      <c r="C15" s="74"/>
      <c r="D15" s="154" t="s">
        <v>498</v>
      </c>
      <c r="E15" s="25"/>
      <c r="F15" s="25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74" t="s">
        <v>566</v>
      </c>
      <c r="E16" s="175" t="s">
        <v>567</v>
      </c>
      <c r="F16" s="156">
        <v>6971.0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5" t="s">
        <v>568</v>
      </c>
      <c r="E17" s="156" t="s">
        <v>569</v>
      </c>
      <c r="F17" s="156">
        <v>510.0</v>
      </c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</row>
    <row r="18" ht="15.75" customHeight="1">
      <c r="A18" s="146" t="s">
        <v>530</v>
      </c>
      <c r="B18" s="173" t="s">
        <v>570</v>
      </c>
      <c r="C18" s="74"/>
      <c r="D18" s="154" t="s">
        <v>505</v>
      </c>
      <c r="E18" s="25"/>
      <c r="F18" s="25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571</v>
      </c>
      <c r="C19" s="74"/>
      <c r="D19" s="174" t="s">
        <v>572</v>
      </c>
      <c r="E19" s="175" t="s">
        <v>573</v>
      </c>
      <c r="F19" s="156">
        <v>12113.0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4" t="s">
        <v>506</v>
      </c>
      <c r="B20" s="25"/>
      <c r="C20" s="26"/>
      <c r="D20" s="155" t="s">
        <v>574</v>
      </c>
      <c r="E20" s="156" t="s">
        <v>575</v>
      </c>
      <c r="F20" s="156">
        <v>11503.0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509</v>
      </c>
      <c r="B21" s="167" t="s">
        <v>576</v>
      </c>
      <c r="C21" s="74"/>
      <c r="D21" s="134" t="s">
        <v>512</v>
      </c>
      <c r="E21" s="25"/>
      <c r="F21" s="25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168" t="s">
        <v>577</v>
      </c>
      <c r="E22" s="136"/>
      <c r="F22" s="70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73"/>
      <c r="E27" s="140"/>
      <c r="F27" s="74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A20:C20"/>
    <mergeCell ref="B21:C21"/>
    <mergeCell ref="D21:F21"/>
    <mergeCell ref="A22:C22"/>
    <mergeCell ref="D22:F27"/>
    <mergeCell ref="B23:C23"/>
    <mergeCell ref="B24:C24"/>
    <mergeCell ref="B25:C25"/>
    <mergeCell ref="B15:C15"/>
    <mergeCell ref="D15:F15"/>
    <mergeCell ref="B16:C16"/>
    <mergeCell ref="A17:C17"/>
    <mergeCell ref="B18:C18"/>
    <mergeCell ref="D18:F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61.88"/>
    <col customWidth="1" min="4" max="4" width="41.63"/>
    <col customWidth="1" min="5" max="5" width="34.5"/>
    <col customWidth="1" min="6" max="6" width="16.25"/>
  </cols>
  <sheetData>
    <row r="1" ht="15.75" customHeight="1">
      <c r="A1" s="134" t="s">
        <v>578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ht="15.75" customHeight="1">
      <c r="A2" s="138" t="s">
        <v>465</v>
      </c>
      <c r="B2" s="171" t="s">
        <v>579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ht="15.75" customHeight="1">
      <c r="A3" s="138" t="s">
        <v>467</v>
      </c>
      <c r="B3" s="173" t="s">
        <v>580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ht="15.75" customHeight="1">
      <c r="A5" s="146" t="s">
        <v>470</v>
      </c>
      <c r="B5" s="173" t="s">
        <v>581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</row>
    <row r="6" ht="15.75" customHeight="1">
      <c r="A6" s="134" t="s">
        <v>475</v>
      </c>
      <c r="B6" s="25"/>
      <c r="C6" s="26"/>
      <c r="D6" s="150">
        <v>150.0</v>
      </c>
      <c r="E6" s="150">
        <v>151.0</v>
      </c>
      <c r="F6" s="150">
        <v>152.0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</row>
    <row r="7" ht="15.75" customHeight="1">
      <c r="A7" s="138" t="s">
        <v>476</v>
      </c>
      <c r="B7" s="151" t="s">
        <v>582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</row>
    <row r="8" ht="15.75" customHeight="1">
      <c r="A8" s="138" t="s">
        <v>478</v>
      </c>
      <c r="B8" s="167" t="s">
        <v>583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</row>
    <row r="9" ht="15.75" customHeight="1">
      <c r="A9" s="138" t="s">
        <v>480</v>
      </c>
      <c r="B9" s="151" t="s">
        <v>584</v>
      </c>
      <c r="C9" s="26"/>
      <c r="D9" s="176" t="s">
        <v>482</v>
      </c>
      <c r="E9" s="25"/>
      <c r="F9" s="26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</row>
    <row r="11" ht="15.75" customHeight="1">
      <c r="A11" s="138" t="s">
        <v>486</v>
      </c>
      <c r="B11" s="177" t="s">
        <v>585</v>
      </c>
      <c r="C11" s="172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</row>
    <row r="12" ht="15.75" customHeight="1">
      <c r="A12" s="138" t="s">
        <v>527</v>
      </c>
      <c r="B12" s="151" t="s">
        <v>585</v>
      </c>
      <c r="C12" s="26"/>
      <c r="D12" s="155" t="s">
        <v>586</v>
      </c>
      <c r="E12" s="156" t="s">
        <v>587</v>
      </c>
      <c r="F12" s="156">
        <v>7951.0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</row>
    <row r="14" ht="15.75" customHeight="1">
      <c r="A14" s="138" t="s">
        <v>490</v>
      </c>
      <c r="B14" s="177" t="s">
        <v>588</v>
      </c>
      <c r="C14" s="172"/>
      <c r="D14" s="155" t="s">
        <v>589</v>
      </c>
      <c r="E14" s="156" t="s">
        <v>590</v>
      </c>
      <c r="F14" s="156">
        <v>77.0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</row>
    <row r="15" ht="15.75" customHeight="1">
      <c r="A15" s="138" t="s">
        <v>493</v>
      </c>
      <c r="B15" s="177" t="s">
        <v>591</v>
      </c>
      <c r="C15" s="172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</row>
    <row r="16" ht="15.75" customHeight="1">
      <c r="A16" s="134" t="s">
        <v>497</v>
      </c>
      <c r="B16" s="25"/>
      <c r="C16" s="26"/>
      <c r="D16" s="155" t="s">
        <v>592</v>
      </c>
      <c r="E16" s="156" t="s">
        <v>593</v>
      </c>
      <c r="F16" s="156">
        <v>11262.0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</row>
    <row r="17" ht="15.75" customHeight="1">
      <c r="A17" s="146" t="s">
        <v>530</v>
      </c>
      <c r="B17" s="151" t="s">
        <v>594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ht="15.75" customHeight="1">
      <c r="A18" s="138"/>
      <c r="B18" s="138"/>
      <c r="C18" s="138"/>
      <c r="D18" s="155" t="s">
        <v>595</v>
      </c>
      <c r="E18" s="155" t="s">
        <v>596</v>
      </c>
      <c r="F18" s="155">
        <v>8046.0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</row>
    <row r="19" ht="15.75" customHeight="1">
      <c r="A19" s="138" t="s">
        <v>546</v>
      </c>
      <c r="B19" s="151"/>
      <c r="C19" s="26"/>
      <c r="D19" s="155" t="s">
        <v>597</v>
      </c>
      <c r="E19" s="156" t="s">
        <v>598</v>
      </c>
      <c r="F19" s="156">
        <v>8472.0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ht="15.75" customHeight="1">
      <c r="A20" s="134" t="s">
        <v>506</v>
      </c>
      <c r="B20" s="25"/>
      <c r="C20" s="26"/>
      <c r="D20" s="155" t="s">
        <v>599</v>
      </c>
      <c r="E20" s="156" t="s">
        <v>600</v>
      </c>
      <c r="F20" s="156">
        <v>7865.0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</row>
    <row r="21" ht="15.75" customHeight="1">
      <c r="A21" s="138" t="s">
        <v>509</v>
      </c>
      <c r="B21" s="177" t="s">
        <v>601</v>
      </c>
      <c r="C21" s="172"/>
      <c r="D21" s="134" t="s">
        <v>512</v>
      </c>
      <c r="E21" s="25"/>
      <c r="F21" s="26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</row>
    <row r="22" ht="15.75" customHeight="1">
      <c r="A22" s="144" t="s">
        <v>511</v>
      </c>
      <c r="B22" s="25"/>
      <c r="C22" s="26"/>
      <c r="D22" s="178"/>
      <c r="E22" s="136"/>
      <c r="F22" s="70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</row>
    <row r="23" ht="15.75" customHeight="1">
      <c r="A23" s="138" t="s">
        <v>514</v>
      </c>
      <c r="B23" s="151" t="s">
        <v>602</v>
      </c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</row>
    <row r="25" ht="15.75" customHeight="1">
      <c r="A25" s="138" t="s">
        <v>603</v>
      </c>
      <c r="B25" s="151" t="s">
        <v>604</v>
      </c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</row>
    <row r="26" ht="15.75" customHeight="1">
      <c r="A26" s="137"/>
      <c r="B26" s="137"/>
      <c r="C26" s="137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</row>
    <row r="27" ht="15.75" customHeight="1">
      <c r="A27" s="137"/>
      <c r="B27" s="137"/>
      <c r="C27" s="137"/>
      <c r="D27" s="73"/>
      <c r="E27" s="140"/>
      <c r="F27" s="74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</row>
    <row r="28" ht="15.75" customHeight="1">
      <c r="A28" s="137"/>
      <c r="B28" s="137"/>
      <c r="C28" s="137"/>
      <c r="D28" s="137" t="s">
        <v>605</v>
      </c>
      <c r="E28" s="137" t="s">
        <v>606</v>
      </c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</row>
    <row r="228" ht="15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A10:C10"/>
    <mergeCell ref="D9:F9"/>
    <mergeCell ref="D11:F11"/>
    <mergeCell ref="B12:C12"/>
    <mergeCell ref="A13:C13"/>
    <mergeCell ref="D13:F13"/>
    <mergeCell ref="D15:F15"/>
    <mergeCell ref="A16:C16"/>
    <mergeCell ref="B23:C23"/>
    <mergeCell ref="B24:C24"/>
    <mergeCell ref="B17:C17"/>
    <mergeCell ref="D17:F17"/>
    <mergeCell ref="B19:C19"/>
    <mergeCell ref="A20:C20"/>
    <mergeCell ref="D21:F21"/>
    <mergeCell ref="A22:C22"/>
    <mergeCell ref="D22:F27"/>
    <mergeCell ref="B25:C25"/>
  </mergeCells>
  <hyperlinks>
    <hyperlink display="&lt;== VOLTAR" location="'FACÇÕES NO GERAL'!A1" ref="D1"/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>
        <v>41177.0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607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608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60" t="s">
        <v>311</v>
      </c>
      <c r="E4" s="140"/>
      <c r="F4" s="74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609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166.0</v>
      </c>
      <c r="E6" s="150">
        <v>167.0</v>
      </c>
      <c r="F6" s="150">
        <v>168.0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610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611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612</v>
      </c>
      <c r="C9" s="26"/>
      <c r="D9" s="162" t="s">
        <v>482</v>
      </c>
      <c r="E9" s="140"/>
      <c r="F9" s="74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7" t="s">
        <v>613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614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615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1" t="s">
        <v>616</v>
      </c>
      <c r="C15" s="172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61" t="s">
        <v>617</v>
      </c>
      <c r="C16" s="172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3" t="s">
        <v>618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61" t="s">
        <v>619</v>
      </c>
      <c r="C19" s="179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4" t="s">
        <v>506</v>
      </c>
      <c r="B20" s="25"/>
      <c r="C20" s="26"/>
      <c r="D20" s="164" t="s">
        <v>512</v>
      </c>
      <c r="E20" s="140"/>
      <c r="F20" s="74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509</v>
      </c>
      <c r="B21" s="151" t="s">
        <v>620</v>
      </c>
      <c r="C21" s="26"/>
      <c r="D21" s="168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D17:F17"/>
    <mergeCell ref="D20:F20"/>
    <mergeCell ref="D21:F26"/>
    <mergeCell ref="A10:C10"/>
    <mergeCell ref="B11:C11"/>
    <mergeCell ref="D11:F11"/>
    <mergeCell ref="B12:C12"/>
    <mergeCell ref="A13:C13"/>
    <mergeCell ref="D13:F13"/>
    <mergeCell ref="D15:F15"/>
    <mergeCell ref="B24:C24"/>
    <mergeCell ref="B25:C25"/>
    <mergeCell ref="B14:C14"/>
    <mergeCell ref="A17:C17"/>
    <mergeCell ref="B18:C18"/>
    <mergeCell ref="A20:C20"/>
    <mergeCell ref="B21:C21"/>
    <mergeCell ref="A22:C22"/>
    <mergeCell ref="B23:C23"/>
  </mergeCells>
  <hyperlinks>
    <hyperlink display="&lt;== VOLTAR" location="'FACÇÕES NO GERAL'!A1" ref="D1"/>
    <hyperlink r:id="rId1" ref="B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621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622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623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624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231.0</v>
      </c>
      <c r="E6" s="150">
        <v>232.0</v>
      </c>
      <c r="F6" s="150">
        <v>233.0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625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626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627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628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80" t="s">
        <v>628</v>
      </c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629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630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631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632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633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634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635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636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69" t="s">
        <v>637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260.0</v>
      </c>
      <c r="E6" s="150">
        <v>261.0</v>
      </c>
      <c r="F6" s="150">
        <v>262.0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638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639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640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641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641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642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643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47" t="s">
        <v>644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645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8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646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647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81" t="s">
        <v>648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3" t="s">
        <v>649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63" t="s">
        <v>650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255.0</v>
      </c>
      <c r="E6" s="150">
        <v>256.0</v>
      </c>
      <c r="F6" s="150">
        <v>257.0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3" t="s">
        <v>651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3" t="s">
        <v>652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3" t="s">
        <v>653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654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654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3" t="s">
        <v>655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3" t="s">
        <v>656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73" t="s">
        <v>657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546</v>
      </c>
      <c r="B18" s="182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73" t="s">
        <v>658</v>
      </c>
      <c r="C20" s="74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518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B22:C22"/>
    <mergeCell ref="B23:C23"/>
    <mergeCell ref="B24:C24"/>
    <mergeCell ref="B15:C15"/>
    <mergeCell ref="D15:F15"/>
    <mergeCell ref="A16:C16"/>
    <mergeCell ref="B17:C17"/>
    <mergeCell ref="D17:F17"/>
    <mergeCell ref="B18:C18"/>
    <mergeCell ref="A19:C19"/>
  </mergeCells>
  <hyperlinks>
    <hyperlink display="&lt;== VOLTAR" location="'FACÇÕES NO GERAL'!A1" ref="D1"/>
    <hyperlink r:id="rId1" ref="B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659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660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661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662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271.0</v>
      </c>
      <c r="E6" s="150">
        <v>272.0</v>
      </c>
      <c r="F6" s="150">
        <v>273.0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663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664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665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666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666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667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668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73" t="s">
        <v>669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546</v>
      </c>
      <c r="B18" s="173" t="s">
        <v>670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73" t="s">
        <v>671</v>
      </c>
      <c r="C20" s="74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83" t="s">
        <v>518</v>
      </c>
      <c r="B24" s="184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B22:C22"/>
    <mergeCell ref="B23:C23"/>
    <mergeCell ref="B24:C24"/>
    <mergeCell ref="B15:C15"/>
    <mergeCell ref="D15:F15"/>
    <mergeCell ref="A16:C16"/>
    <mergeCell ref="B17:C17"/>
    <mergeCell ref="D17:F17"/>
    <mergeCell ref="B18:C18"/>
    <mergeCell ref="A19:C19"/>
  </mergeCells>
  <hyperlinks>
    <hyperlink display="&lt;== VOLTAR" location="'FACÇÕES NO GERAL'!A1" ref="D1"/>
    <hyperlink r:id="rId1" ref="B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672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673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674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7" t="s">
        <v>675</v>
      </c>
      <c r="C5" s="185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760.0</v>
      </c>
      <c r="E6" s="150">
        <v>761.0</v>
      </c>
      <c r="F6" s="150">
        <v>762.0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1" t="s">
        <v>676</v>
      </c>
      <c r="C7" s="172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1" t="s">
        <v>677</v>
      </c>
      <c r="C8" s="172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1" t="s">
        <v>678</v>
      </c>
      <c r="C9" s="172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679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679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680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681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682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4" t="s">
        <v>506</v>
      </c>
      <c r="B20" s="25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509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E6:E7"/>
    <mergeCell ref="F6:F7"/>
    <mergeCell ref="D9:F9"/>
    <mergeCell ref="A1:C1"/>
    <mergeCell ref="D1:F2"/>
    <mergeCell ref="B3:C3"/>
    <mergeCell ref="A4:C4"/>
    <mergeCell ref="D4:F4"/>
    <mergeCell ref="A6:C6"/>
    <mergeCell ref="D6:D7"/>
    <mergeCell ref="A10:C10"/>
    <mergeCell ref="B11:C11"/>
    <mergeCell ref="D11:F11"/>
    <mergeCell ref="B12:C12"/>
    <mergeCell ref="A13:C13"/>
    <mergeCell ref="D13:F13"/>
    <mergeCell ref="B14:C14"/>
    <mergeCell ref="A20:C20"/>
    <mergeCell ref="D20:F20"/>
    <mergeCell ref="B21:C21"/>
    <mergeCell ref="D21:F26"/>
    <mergeCell ref="A22:C22"/>
    <mergeCell ref="B23:C23"/>
    <mergeCell ref="B24:C24"/>
    <mergeCell ref="B25:C25"/>
    <mergeCell ref="B15:C15"/>
    <mergeCell ref="D15:F15"/>
    <mergeCell ref="B16:C16"/>
    <mergeCell ref="A17:C17"/>
    <mergeCell ref="D17:F17"/>
    <mergeCell ref="B18:C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683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684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685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686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170.0</v>
      </c>
      <c r="E6" s="150">
        <v>171.0</v>
      </c>
      <c r="F6" s="150">
        <v>172.0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687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688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689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690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690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691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692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47" t="s">
        <v>693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 t="s">
        <v>694</v>
      </c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 t="s">
        <v>695</v>
      </c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7" t="s">
        <v>696</v>
      </c>
      <c r="C22" s="172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A23:C23"/>
    <mergeCell ref="B24:C24"/>
    <mergeCell ref="B25:C25"/>
    <mergeCell ref="B26:C26"/>
    <mergeCell ref="B15:C15"/>
    <mergeCell ref="D15:F15"/>
    <mergeCell ref="B16:C16"/>
    <mergeCell ref="A17:C17"/>
    <mergeCell ref="D17:F17"/>
    <mergeCell ref="B18:C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697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698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699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700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183.0</v>
      </c>
      <c r="E6" s="150">
        <v>184.0</v>
      </c>
      <c r="F6" s="150">
        <v>185.0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3" t="s">
        <v>701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3" t="s">
        <v>702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3" t="s">
        <v>703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704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3" t="s">
        <v>705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3" t="s">
        <v>706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47" t="s">
        <v>707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4" t="s">
        <v>506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509</v>
      </c>
      <c r="B19" s="177" t="s">
        <v>708</v>
      </c>
      <c r="C19" s="172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44" t="s">
        <v>511</v>
      </c>
      <c r="B20" s="25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514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517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518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A20:C20"/>
    <mergeCell ref="D20:F20"/>
    <mergeCell ref="B21:C21"/>
    <mergeCell ref="D21:F26"/>
    <mergeCell ref="B22:C22"/>
    <mergeCell ref="B23:C23"/>
    <mergeCell ref="B14:C14"/>
    <mergeCell ref="B15:C15"/>
    <mergeCell ref="D15:F15"/>
    <mergeCell ref="A16:C16"/>
    <mergeCell ref="B17:C17"/>
    <mergeCell ref="D17:F17"/>
    <mergeCell ref="A18:C18"/>
  </mergeCells>
  <hyperlinks>
    <hyperlink display="&lt;== VOLTAR" location="'FACÇÕES NO GERAL'!A1" ref="D1"/>
    <hyperlink r:id="rId1" ref="B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34.25"/>
    <col customWidth="1" min="6" max="6" width="16.25"/>
  </cols>
  <sheetData>
    <row r="1" ht="15.75" customHeight="1">
      <c r="A1" s="134" t="s">
        <v>709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710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711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712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650.0</v>
      </c>
      <c r="E6" s="150">
        <v>651.0</v>
      </c>
      <c r="F6" s="150">
        <v>652.0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713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714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715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716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716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717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718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47" t="s">
        <v>719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 t="s">
        <v>720</v>
      </c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86" t="s">
        <v>721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87" t="s">
        <v>465</v>
      </c>
      <c r="B2" s="188" t="s">
        <v>722</v>
      </c>
      <c r="C2" s="189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87" t="s">
        <v>467</v>
      </c>
      <c r="B3" s="190" t="s">
        <v>723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91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92" t="s">
        <v>470</v>
      </c>
      <c r="B5" s="190" t="s">
        <v>724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86" t="s">
        <v>475</v>
      </c>
      <c r="B6" s="25"/>
      <c r="C6" s="26"/>
      <c r="D6" s="150">
        <v>200.0</v>
      </c>
      <c r="E6" s="150">
        <v>201.0</v>
      </c>
      <c r="F6" s="150">
        <v>202.0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87" t="s">
        <v>476</v>
      </c>
      <c r="B7" s="190" t="s">
        <v>725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87" t="s">
        <v>478</v>
      </c>
      <c r="B8" s="190" t="s">
        <v>726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87" t="s">
        <v>480</v>
      </c>
      <c r="B9" s="190" t="s">
        <v>727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86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87" t="s">
        <v>486</v>
      </c>
      <c r="B11" s="190" t="s">
        <v>728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87" t="s">
        <v>527</v>
      </c>
      <c r="B12" s="190" t="s">
        <v>728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86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87" t="s">
        <v>490</v>
      </c>
      <c r="B14" s="190" t="s">
        <v>729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87" t="s">
        <v>493</v>
      </c>
      <c r="B15" s="190" t="s">
        <v>730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87" t="s">
        <v>543</v>
      </c>
      <c r="B16" s="193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86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92" t="s">
        <v>530</v>
      </c>
      <c r="B18" s="190" t="s">
        <v>731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87" t="s">
        <v>546</v>
      </c>
      <c r="B19" s="190" t="s">
        <v>732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87" t="s">
        <v>548</v>
      </c>
      <c r="B20" s="193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86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87" t="s">
        <v>509</v>
      </c>
      <c r="B22" s="190" t="s">
        <v>733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91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87" t="s">
        <v>514</v>
      </c>
      <c r="B24" s="193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87" t="s">
        <v>517</v>
      </c>
      <c r="B25" s="193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87" t="s">
        <v>518</v>
      </c>
      <c r="B26" s="193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734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735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3" t="s">
        <v>736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/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101.0</v>
      </c>
      <c r="E6" s="150">
        <v>102.0</v>
      </c>
      <c r="F6" s="150">
        <v>103.0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737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738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739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740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740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741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742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73" t="s">
        <v>743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24.0" customHeight="1">
      <c r="A18" s="138" t="s">
        <v>546</v>
      </c>
      <c r="B18" s="167" t="s">
        <v>744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73" t="s">
        <v>745</v>
      </c>
      <c r="C20" s="74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518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B22:C22"/>
    <mergeCell ref="B23:C23"/>
    <mergeCell ref="B24:C24"/>
    <mergeCell ref="B15:C15"/>
    <mergeCell ref="D15:F15"/>
    <mergeCell ref="A16:C16"/>
    <mergeCell ref="B17:C17"/>
    <mergeCell ref="D17:F17"/>
    <mergeCell ref="B18:C18"/>
    <mergeCell ref="A19:C19"/>
  </mergeCells>
  <hyperlinks>
    <hyperlink display="&lt;== VOLTAR" location="'FACÇÕES NO GERAL'!A1" ref="D1"/>
    <hyperlink r:id="rId1" ref="B2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746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747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748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749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244.0</v>
      </c>
      <c r="E6" s="150">
        <v>245.0</v>
      </c>
      <c r="F6" s="150">
        <v>246.0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750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751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752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753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753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754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755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73" t="s">
        <v>756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546</v>
      </c>
      <c r="B18" s="173" t="s">
        <v>757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73" t="s">
        <v>758</v>
      </c>
      <c r="C20" s="74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518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B22:C22"/>
    <mergeCell ref="B23:C23"/>
    <mergeCell ref="B24:C24"/>
    <mergeCell ref="B15:C15"/>
    <mergeCell ref="D15:F15"/>
    <mergeCell ref="A16:C16"/>
    <mergeCell ref="B17:C17"/>
    <mergeCell ref="D17:F17"/>
    <mergeCell ref="B18:C18"/>
    <mergeCell ref="A19:C19"/>
  </mergeCells>
  <hyperlinks>
    <hyperlink display="&lt;== VOLTAR" location="'FACÇÕES NO GERAL'!A1" ref="D1"/>
    <hyperlink r:id="rId1" ref="B2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31.88"/>
    <col customWidth="1" min="6" max="6" width="16.25"/>
  </cols>
  <sheetData>
    <row r="1" ht="15.75" customHeight="1">
      <c r="A1" s="134" t="s">
        <v>759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760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761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762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207.0</v>
      </c>
      <c r="E6" s="150">
        <v>208.0</v>
      </c>
      <c r="F6" s="150">
        <v>209.0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763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764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765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766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766</v>
      </c>
      <c r="C12" s="74"/>
      <c r="D12" s="155" t="s">
        <v>767</v>
      </c>
      <c r="E12" s="156" t="s">
        <v>768</v>
      </c>
      <c r="F12" s="156">
        <v>2698.0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769</v>
      </c>
      <c r="C14" s="74"/>
      <c r="D14" s="155" t="s">
        <v>770</v>
      </c>
      <c r="E14" s="156" t="s">
        <v>247</v>
      </c>
      <c r="F14" s="156">
        <v>764.0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771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94"/>
      <c r="B16" s="195"/>
      <c r="C16" s="195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34" t="s">
        <v>497</v>
      </c>
      <c r="B17" s="25"/>
      <c r="C17" s="26"/>
      <c r="D17" s="155" t="s">
        <v>772</v>
      </c>
      <c r="E17" s="156" t="s">
        <v>773</v>
      </c>
      <c r="F17" s="156">
        <v>1197.0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774</v>
      </c>
      <c r="C18" s="74"/>
      <c r="D18" s="154" t="s">
        <v>505</v>
      </c>
      <c r="E18" s="25"/>
      <c r="F18" s="2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775</v>
      </c>
      <c r="C19" s="74"/>
      <c r="D19" s="155" t="s">
        <v>776</v>
      </c>
      <c r="E19" s="156" t="s">
        <v>777</v>
      </c>
      <c r="F19" s="156">
        <v>13308.0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94"/>
      <c r="B20" s="195"/>
      <c r="C20" s="195"/>
      <c r="D20" s="156" t="s">
        <v>778</v>
      </c>
      <c r="E20" s="156" t="s">
        <v>779</v>
      </c>
      <c r="F20" s="156">
        <v>1390.0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56" t="s">
        <v>780</v>
      </c>
      <c r="E21" s="156" t="s">
        <v>781</v>
      </c>
      <c r="F21" s="156">
        <v>1447.0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 t="s">
        <v>782</v>
      </c>
      <c r="C22" s="26"/>
      <c r="D22" s="134" t="s">
        <v>512</v>
      </c>
      <c r="E22" s="25"/>
      <c r="F22" s="26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165" t="s">
        <v>605</v>
      </c>
      <c r="E23" s="136"/>
      <c r="F23" s="70"/>
      <c r="G23" s="165" t="s">
        <v>783</v>
      </c>
      <c r="H23" s="136"/>
      <c r="I23" s="70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66"/>
      <c r="I24" s="158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66"/>
      <c r="I25" s="158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66"/>
      <c r="F26" s="158"/>
      <c r="G26" s="66"/>
      <c r="I26" s="158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66"/>
      <c r="F27" s="158"/>
      <c r="G27" s="66"/>
      <c r="I27" s="158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73"/>
      <c r="E28" s="140"/>
      <c r="F28" s="74"/>
      <c r="G28" s="73"/>
      <c r="H28" s="140"/>
      <c r="I28" s="74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2:C22"/>
    <mergeCell ref="D22:F22"/>
    <mergeCell ref="A23:C23"/>
    <mergeCell ref="D23:F28"/>
    <mergeCell ref="G23:I28"/>
    <mergeCell ref="B24:C24"/>
    <mergeCell ref="B25:C25"/>
    <mergeCell ref="B26:C26"/>
    <mergeCell ref="B15:C15"/>
    <mergeCell ref="D15:F15"/>
    <mergeCell ref="A17:C17"/>
    <mergeCell ref="B18:C18"/>
    <mergeCell ref="D18:F18"/>
    <mergeCell ref="B19:C19"/>
    <mergeCell ref="A21:C21"/>
  </mergeCells>
  <hyperlinks>
    <hyperlink display="&lt;== VOLTAR" location="'FACÇÕES NO GERAL'!A1" ref="D1"/>
    <hyperlink r:id="rId1" ref="B2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784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785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3" t="s">
        <v>786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63" t="s">
        <v>787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730.0</v>
      </c>
      <c r="E6" s="150">
        <v>731.0</v>
      </c>
      <c r="F6" s="150">
        <v>732.0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3" t="s">
        <v>788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3" t="s">
        <v>789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3" t="s">
        <v>790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3" t="s">
        <v>791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63" t="s">
        <v>791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3" t="s">
        <v>792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3" t="s">
        <v>793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63" t="s">
        <v>794</v>
      </c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3" t="s">
        <v>795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51" t="s">
        <v>796</v>
      </c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518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A19:C19"/>
    <mergeCell ref="B20:C20"/>
    <mergeCell ref="D20:F20"/>
    <mergeCell ref="A21:C21"/>
    <mergeCell ref="D21:F26"/>
    <mergeCell ref="B22:C22"/>
    <mergeCell ref="B23:C23"/>
    <mergeCell ref="B24:C24"/>
    <mergeCell ref="B14:C14"/>
    <mergeCell ref="B15:C15"/>
    <mergeCell ref="D15:F15"/>
    <mergeCell ref="B16:C16"/>
    <mergeCell ref="A17:C17"/>
    <mergeCell ref="D17:F17"/>
    <mergeCell ref="B18:C18"/>
  </mergeCells>
  <hyperlinks>
    <hyperlink display="&lt;== VOLTAR" location="'FACÇÕES NO GERAL'!A1" ref="D1"/>
    <hyperlink r:id="rId1" ref="B2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9.88"/>
  </cols>
  <sheetData>
    <row r="1" ht="15.75" customHeight="1">
      <c r="A1" s="134" t="s">
        <v>797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798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9" t="s">
        <v>799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800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276.0</v>
      </c>
      <c r="E6" s="150">
        <v>277.0</v>
      </c>
      <c r="F6" s="150">
        <v>278.0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9" t="s">
        <v>801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3" t="s">
        <v>802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803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804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7" t="s">
        <v>804</v>
      </c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805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806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73" t="s">
        <v>807</v>
      </c>
      <c r="C16" s="74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8" t="s">
        <v>808</v>
      </c>
      <c r="B17" s="173" t="s">
        <v>805</v>
      </c>
      <c r="C17" s="74"/>
      <c r="D17" s="154" t="s">
        <v>505</v>
      </c>
      <c r="E17" s="25"/>
      <c r="F17" s="26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</row>
    <row r="18" ht="15.75" customHeight="1">
      <c r="A18" s="134" t="s">
        <v>497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46" t="s">
        <v>530</v>
      </c>
      <c r="B19" s="167" t="s">
        <v>809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4" t="s">
        <v>506</v>
      </c>
      <c r="B20" s="25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509</v>
      </c>
      <c r="B21" s="173" t="s">
        <v>810</v>
      </c>
      <c r="C21" s="74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A20:C20"/>
    <mergeCell ref="D20:F20"/>
    <mergeCell ref="B21:C21"/>
    <mergeCell ref="D21:F26"/>
    <mergeCell ref="A22:C22"/>
    <mergeCell ref="B23:C23"/>
    <mergeCell ref="B24:C24"/>
    <mergeCell ref="B25:C25"/>
    <mergeCell ref="B15:C15"/>
    <mergeCell ref="D15:F15"/>
    <mergeCell ref="B16:C16"/>
    <mergeCell ref="B17:C17"/>
    <mergeCell ref="D17:F17"/>
    <mergeCell ref="A18:C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811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812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3" t="s">
        <v>813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69" t="s">
        <v>814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180.0</v>
      </c>
      <c r="E6" s="150">
        <v>181.0</v>
      </c>
      <c r="F6" s="150">
        <v>182.0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815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816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817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818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489</v>
      </c>
      <c r="B12" s="25"/>
      <c r="C12" s="26"/>
      <c r="D12" s="143" t="s">
        <v>819</v>
      </c>
      <c r="E12" s="156" t="s">
        <v>820</v>
      </c>
      <c r="F12" s="156">
        <v>12648.0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8" t="s">
        <v>490</v>
      </c>
      <c r="B13" s="173" t="s">
        <v>821</v>
      </c>
      <c r="C13" s="74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493</v>
      </c>
      <c r="B14" s="173" t="s">
        <v>822</v>
      </c>
      <c r="C14" s="74"/>
      <c r="D14" s="155" t="s">
        <v>823</v>
      </c>
      <c r="E14" s="156" t="s">
        <v>824</v>
      </c>
      <c r="F14" s="156">
        <v>13220.0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4" t="s">
        <v>497</v>
      </c>
      <c r="B15" s="25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46" t="s">
        <v>530</v>
      </c>
      <c r="B16" s="167" t="s">
        <v>825</v>
      </c>
      <c r="C16" s="74"/>
      <c r="D16" s="155" t="s">
        <v>826</v>
      </c>
      <c r="E16" s="156" t="s">
        <v>827</v>
      </c>
      <c r="F16" s="156">
        <v>13628.0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38" t="s">
        <v>546</v>
      </c>
      <c r="B17" s="173" t="s">
        <v>828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94"/>
      <c r="B18" s="195"/>
      <c r="C18" s="195"/>
      <c r="D18" s="155" t="s">
        <v>829</v>
      </c>
      <c r="E18" s="155" t="s">
        <v>830</v>
      </c>
      <c r="F18" s="155">
        <v>6431.0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D19" s="155" t="s">
        <v>831</v>
      </c>
      <c r="E19" s="156" t="s">
        <v>832</v>
      </c>
      <c r="F19" s="156">
        <v>11074.0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73" t="s">
        <v>833</v>
      </c>
      <c r="C20" s="74"/>
      <c r="D20" s="155" t="s">
        <v>834</v>
      </c>
      <c r="E20" s="155" t="s">
        <v>835</v>
      </c>
      <c r="F20" s="155">
        <v>12457.0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836</v>
      </c>
      <c r="B21" s="169" t="s">
        <v>837</v>
      </c>
      <c r="C21" s="26"/>
      <c r="D21" s="134" t="s">
        <v>512</v>
      </c>
      <c r="E21" s="25"/>
      <c r="F21" s="26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165"/>
      <c r="E22" s="136"/>
      <c r="F22" s="70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73"/>
      <c r="E27" s="140"/>
      <c r="F27" s="74"/>
      <c r="G27" s="137" t="s">
        <v>838</v>
      </c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A12:C12"/>
    <mergeCell ref="B13:C13"/>
    <mergeCell ref="D13:F13"/>
    <mergeCell ref="B14:C14"/>
    <mergeCell ref="B21:C21"/>
    <mergeCell ref="D21:F21"/>
    <mergeCell ref="A22:C22"/>
    <mergeCell ref="D22:F27"/>
    <mergeCell ref="B23:C23"/>
    <mergeCell ref="B24:C24"/>
    <mergeCell ref="B25:C25"/>
    <mergeCell ref="A15:C15"/>
    <mergeCell ref="D15:F15"/>
    <mergeCell ref="B16:C16"/>
    <mergeCell ref="B17:C17"/>
    <mergeCell ref="D17:F17"/>
    <mergeCell ref="A19:C19"/>
    <mergeCell ref="B20:C20"/>
  </mergeCells>
  <hyperlinks>
    <hyperlink display="&lt;== VOLTAR" location="'FACÇÕES NO GERAL'!A1" ref="D1"/>
    <hyperlink r:id="rId1" ref="B2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4.88"/>
    <col customWidth="1" min="3" max="3" width="45.63"/>
    <col customWidth="1" min="4" max="4" width="41.63"/>
    <col customWidth="1" min="5" max="5" width="30.25"/>
    <col customWidth="1" min="6" max="6" width="16.25"/>
  </cols>
  <sheetData>
    <row r="1" ht="15.75" customHeight="1">
      <c r="A1" s="134" t="s">
        <v>839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840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7" t="s">
        <v>841</v>
      </c>
      <c r="C3" s="172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842</v>
      </c>
      <c r="B5" s="173" t="s">
        <v>843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46" t="s">
        <v>844</v>
      </c>
      <c r="B6" s="173" t="s">
        <v>845</v>
      </c>
      <c r="C6" s="74"/>
      <c r="D6" s="150">
        <v>157.0</v>
      </c>
      <c r="E6" s="150">
        <v>158.0</v>
      </c>
      <c r="F6" s="150">
        <v>159.0</v>
      </c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</row>
    <row r="7" ht="15.75" customHeight="1">
      <c r="A7" s="146" t="s">
        <v>846</v>
      </c>
      <c r="B7" s="173" t="s">
        <v>847</v>
      </c>
      <c r="C7" s="74"/>
      <c r="D7" s="7"/>
      <c r="E7" s="7"/>
      <c r="F7" s="7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</row>
    <row r="8" ht="15.75" customHeight="1">
      <c r="A8" s="146" t="s">
        <v>848</v>
      </c>
      <c r="B8" s="167" t="s">
        <v>849</v>
      </c>
      <c r="C8" s="74"/>
      <c r="D8" s="143"/>
      <c r="E8" s="143"/>
      <c r="F8" s="143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</row>
    <row r="9" ht="15.75" customHeight="1">
      <c r="A9" s="146" t="s">
        <v>850</v>
      </c>
      <c r="B9" s="173" t="s">
        <v>851</v>
      </c>
      <c r="C9" s="74"/>
      <c r="D9" s="152" t="s">
        <v>482</v>
      </c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</row>
    <row r="10" ht="15.75" customHeight="1">
      <c r="A10" s="134" t="s">
        <v>475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476</v>
      </c>
      <c r="B11" s="163" t="s">
        <v>852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478</v>
      </c>
      <c r="B12" s="161" t="s">
        <v>853</v>
      </c>
      <c r="C12" s="172"/>
      <c r="D12" s="156" t="s">
        <v>854</v>
      </c>
      <c r="E12" s="156" t="s">
        <v>855</v>
      </c>
      <c r="F12" s="156">
        <v>14441.0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8" t="s">
        <v>480</v>
      </c>
      <c r="B13" s="161" t="s">
        <v>856</v>
      </c>
      <c r="C13" s="172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4" t="s">
        <v>489</v>
      </c>
      <c r="B14" s="25"/>
      <c r="C14" s="26"/>
      <c r="D14" s="156" t="s">
        <v>857</v>
      </c>
      <c r="E14" s="156" t="s">
        <v>858</v>
      </c>
      <c r="F14" s="156">
        <v>14436.0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490</v>
      </c>
      <c r="B15" s="151" t="s">
        <v>859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6" t="s">
        <v>860</v>
      </c>
      <c r="E16" s="156" t="s">
        <v>861</v>
      </c>
      <c r="F16" s="156">
        <v>14439.0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47" t="s">
        <v>862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4" t="s">
        <v>506</v>
      </c>
      <c r="B18" s="25"/>
      <c r="C18" s="26"/>
      <c r="D18" s="156" t="s">
        <v>863</v>
      </c>
      <c r="E18" s="156" t="s">
        <v>864</v>
      </c>
      <c r="F18" s="156">
        <v>14443.0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</row>
    <row r="19" ht="15.75" customHeight="1">
      <c r="A19" s="138" t="s">
        <v>509</v>
      </c>
      <c r="B19" s="151" t="s">
        <v>865</v>
      </c>
      <c r="C19" s="26"/>
      <c r="D19" s="156" t="s">
        <v>866</v>
      </c>
      <c r="E19" s="156" t="s">
        <v>867</v>
      </c>
      <c r="F19" s="156">
        <v>14462.0</v>
      </c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</row>
    <row r="20" ht="15.75" customHeight="1">
      <c r="A20" s="144" t="s">
        <v>511</v>
      </c>
      <c r="B20" s="25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514</v>
      </c>
      <c r="B21" s="151"/>
      <c r="C21" s="26"/>
      <c r="D21" s="157" t="s">
        <v>868</v>
      </c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517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518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C1"/>
    <mergeCell ref="D1:F2"/>
    <mergeCell ref="B2:C2"/>
    <mergeCell ref="A4:C4"/>
    <mergeCell ref="D4:F4"/>
    <mergeCell ref="B5:C5"/>
    <mergeCell ref="B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D13:F13"/>
    <mergeCell ref="A14:C14"/>
    <mergeCell ref="B15:C15"/>
    <mergeCell ref="D15:F15"/>
    <mergeCell ref="D20:F20"/>
    <mergeCell ref="D21:F26"/>
    <mergeCell ref="B22:C22"/>
    <mergeCell ref="B23:C23"/>
    <mergeCell ref="A16:C16"/>
    <mergeCell ref="B17:C17"/>
    <mergeCell ref="D17:F17"/>
    <mergeCell ref="A18:C18"/>
    <mergeCell ref="B19:C19"/>
    <mergeCell ref="A20:C20"/>
    <mergeCell ref="B21:C21"/>
  </mergeCells>
  <hyperlinks>
    <hyperlink display="&lt;== VOLTAR" location="'FACÇÕES NO GERAL'!A1" ref="D1"/>
    <hyperlink r:id="rId1" ref="B2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869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870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9" t="s">
        <v>871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872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160.0</v>
      </c>
      <c r="E6" s="150">
        <v>161.0</v>
      </c>
      <c r="F6" s="150">
        <v>162.0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873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874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875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7" t="s">
        <v>876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876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877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878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67" t="s">
        <v>879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546</v>
      </c>
      <c r="B18" s="167" t="s">
        <v>880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4" t="s">
        <v>506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509</v>
      </c>
      <c r="B20" s="151" t="s">
        <v>881</v>
      </c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44" t="s">
        <v>511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514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517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518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20:C20"/>
    <mergeCell ref="D20:F20"/>
    <mergeCell ref="A21:C21"/>
    <mergeCell ref="D21:F26"/>
    <mergeCell ref="B22:C22"/>
    <mergeCell ref="B23:C23"/>
    <mergeCell ref="B24:C24"/>
    <mergeCell ref="B15:C15"/>
    <mergeCell ref="D15:F15"/>
    <mergeCell ref="A16:C16"/>
    <mergeCell ref="B17:C17"/>
    <mergeCell ref="D17:F17"/>
    <mergeCell ref="B18:C18"/>
    <mergeCell ref="A19:C19"/>
  </mergeCells>
  <hyperlinks>
    <hyperlink display="&lt;== VOLTAR" location="'FACÇÕES NO GERAL'!A1" ref="D1"/>
    <hyperlink r:id="rId1" ref="B2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882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883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884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885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301.0</v>
      </c>
      <c r="E6" s="150">
        <v>302.0</v>
      </c>
      <c r="F6" s="150">
        <v>303.0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886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887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888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889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889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890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7" t="s">
        <v>891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497</v>
      </c>
      <c r="B16" s="25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46" t="s">
        <v>530</v>
      </c>
      <c r="B17" s="173" t="s">
        <v>892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546</v>
      </c>
      <c r="B18" s="151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548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4" t="s">
        <v>506</v>
      </c>
      <c r="B20" s="25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509</v>
      </c>
      <c r="B21" s="151" t="s">
        <v>893</v>
      </c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44" t="s">
        <v>511</v>
      </c>
      <c r="B22" s="25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514</v>
      </c>
      <c r="B23" s="151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517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518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A16:C16"/>
    <mergeCell ref="B17:C17"/>
    <mergeCell ref="D17:F17"/>
    <mergeCell ref="B18:C18"/>
    <mergeCell ref="B24:C24"/>
    <mergeCell ref="B25:C25"/>
    <mergeCell ref="B19:C19"/>
    <mergeCell ref="A20:C20"/>
    <mergeCell ref="D20:F20"/>
    <mergeCell ref="B21:C21"/>
    <mergeCell ref="D21:F26"/>
    <mergeCell ref="A22:C22"/>
    <mergeCell ref="B23:C23"/>
  </mergeCells>
  <hyperlinks>
    <hyperlink display="&lt;== VOLTAR" location="'FACÇÕES NO GERAL'!A1" ref="D1"/>
    <hyperlink r:id="rId1" ref="B2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894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895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9" t="s">
        <v>896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897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340.0</v>
      </c>
      <c r="E6" s="150">
        <v>341.0</v>
      </c>
      <c r="F6" s="150">
        <v>342.0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898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899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900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901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902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903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 t="s">
        <v>904</v>
      </c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 t="s">
        <v>905</v>
      </c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906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907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908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909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350.0</v>
      </c>
      <c r="E6" s="150">
        <v>351.0</v>
      </c>
      <c r="F6" s="150">
        <v>352.0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910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911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912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913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913</v>
      </c>
      <c r="C12" s="74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914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915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916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917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918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919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920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921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34" t="s">
        <v>475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38" t="s">
        <v>476</v>
      </c>
      <c r="B5" s="151" t="s">
        <v>922</v>
      </c>
      <c r="C5" s="26"/>
      <c r="D5" s="148" t="s">
        <v>472</v>
      </c>
      <c r="E5" s="148" t="s">
        <v>473</v>
      </c>
      <c r="F5" s="148" t="s">
        <v>474</v>
      </c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</row>
    <row r="6" ht="15.75" customHeight="1">
      <c r="A6" s="138" t="s">
        <v>478</v>
      </c>
      <c r="B6" s="177" t="s">
        <v>923</v>
      </c>
      <c r="C6" s="172"/>
      <c r="D6" s="150">
        <v>345.0</v>
      </c>
      <c r="E6" s="150">
        <v>346.0</v>
      </c>
      <c r="F6" s="150">
        <v>347.0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480</v>
      </c>
      <c r="B7" s="151" t="s">
        <v>924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4" t="s">
        <v>489</v>
      </c>
      <c r="B8" s="25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490</v>
      </c>
      <c r="B9" s="151" t="s">
        <v>925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497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46" t="s">
        <v>530</v>
      </c>
      <c r="B11" s="147" t="s">
        <v>926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506</v>
      </c>
      <c r="B12" s="25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8" t="s">
        <v>509</v>
      </c>
      <c r="B13" s="151" t="s">
        <v>927</v>
      </c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928</v>
      </c>
      <c r="B14" s="151" t="s">
        <v>929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44" t="s">
        <v>511</v>
      </c>
      <c r="B15" s="25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514</v>
      </c>
      <c r="B16" s="151"/>
      <c r="C16" s="26"/>
      <c r="D16" s="155"/>
      <c r="E16" s="156"/>
      <c r="F16" s="15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38" t="s">
        <v>517</v>
      </c>
      <c r="B17" s="151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518</v>
      </c>
      <c r="B18" s="151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7"/>
      <c r="B19" s="137"/>
      <c r="C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7"/>
      <c r="B20" s="137"/>
      <c r="C20" s="137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7"/>
      <c r="B21" s="137"/>
      <c r="C21" s="137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7"/>
      <c r="B22" s="137"/>
      <c r="C22" s="137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7"/>
      <c r="B23" s="137"/>
      <c r="C23" s="137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C1"/>
    <mergeCell ref="D1:F2"/>
    <mergeCell ref="B2:C2"/>
    <mergeCell ref="B3:C3"/>
    <mergeCell ref="A4:C4"/>
    <mergeCell ref="D4:F4"/>
    <mergeCell ref="B5:C5"/>
    <mergeCell ref="D6:D7"/>
    <mergeCell ref="E6:E7"/>
    <mergeCell ref="F6:F7"/>
    <mergeCell ref="B7:C7"/>
    <mergeCell ref="A8:C8"/>
    <mergeCell ref="B9:C9"/>
    <mergeCell ref="D9:F9"/>
    <mergeCell ref="A15:C15"/>
    <mergeCell ref="D15:F15"/>
    <mergeCell ref="B16:C16"/>
    <mergeCell ref="B17:C17"/>
    <mergeCell ref="D17:F17"/>
    <mergeCell ref="B18:C18"/>
    <mergeCell ref="D20:F20"/>
    <mergeCell ref="D21:F26"/>
    <mergeCell ref="A10:C10"/>
    <mergeCell ref="B11:C11"/>
    <mergeCell ref="D11:F11"/>
    <mergeCell ref="A12:C12"/>
    <mergeCell ref="B13:C13"/>
    <mergeCell ref="D13:F13"/>
    <mergeCell ref="B14:C14"/>
  </mergeCells>
  <hyperlinks>
    <hyperlink display="&lt;== VOLTAR" location="'FACÇÕES NO GERAL'!A1" ref="D1"/>
    <hyperlink r:id="rId1" ref="B2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930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931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932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933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800.0</v>
      </c>
      <c r="E6" s="150">
        <v>801.0</v>
      </c>
      <c r="F6" s="150">
        <v>802.0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934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935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936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937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 t="s">
        <v>938</v>
      </c>
      <c r="E12" s="156" t="s">
        <v>939</v>
      </c>
      <c r="F12" s="156">
        <v>69.0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/>
      <c r="B14" s="138"/>
      <c r="C14" s="138"/>
      <c r="D14" s="155" t="s">
        <v>940</v>
      </c>
      <c r="E14" s="155" t="s">
        <v>941</v>
      </c>
      <c r="F14" s="155">
        <v>774.0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490</v>
      </c>
      <c r="B15" s="151" t="s">
        <v>942</v>
      </c>
      <c r="C15" s="26"/>
      <c r="D15" s="155" t="s">
        <v>943</v>
      </c>
      <c r="E15" s="156" t="s">
        <v>944</v>
      </c>
      <c r="F15" s="156">
        <v>666.0</v>
      </c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493</v>
      </c>
      <c r="B16" s="151" t="s">
        <v>945</v>
      </c>
      <c r="C16" s="26"/>
      <c r="D16" s="154" t="s">
        <v>498</v>
      </c>
      <c r="E16" s="25"/>
      <c r="F16" s="26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 ht="15.75" customHeight="1">
      <c r="A17" s="138" t="s">
        <v>543</v>
      </c>
      <c r="B17" s="151"/>
      <c r="C17" s="26"/>
      <c r="D17" s="155" t="s">
        <v>946</v>
      </c>
      <c r="E17" s="156" t="s">
        <v>947</v>
      </c>
      <c r="F17" s="156">
        <v>13801.0</v>
      </c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</row>
    <row r="18" ht="15.75" customHeight="1">
      <c r="A18" s="134" t="s">
        <v>497</v>
      </c>
      <c r="B18" s="25"/>
      <c r="C18" s="26"/>
      <c r="D18" s="154" t="s">
        <v>505</v>
      </c>
      <c r="E18" s="25"/>
      <c r="F18" s="2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46" t="s">
        <v>530</v>
      </c>
      <c r="B19" s="147" t="s">
        <v>948</v>
      </c>
      <c r="C19" s="26"/>
      <c r="D19" s="155" t="s">
        <v>949</v>
      </c>
      <c r="E19" s="198" t="s">
        <v>950</v>
      </c>
      <c r="F19" s="156">
        <v>1417.0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546</v>
      </c>
      <c r="B20" s="151"/>
      <c r="C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548</v>
      </c>
      <c r="B21" s="151"/>
      <c r="C21" s="26"/>
      <c r="D21" s="134" t="s">
        <v>512</v>
      </c>
      <c r="E21" s="25"/>
      <c r="F21" s="26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4" t="s">
        <v>506</v>
      </c>
      <c r="B22" s="25"/>
      <c r="C22" s="26"/>
      <c r="D22" s="165"/>
      <c r="E22" s="136"/>
      <c r="F22" s="70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8" t="s">
        <v>509</v>
      </c>
      <c r="B23" s="151" t="s">
        <v>951</v>
      </c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44" t="s">
        <v>511</v>
      </c>
      <c r="B24" s="25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514</v>
      </c>
      <c r="B25" s="151" t="s">
        <v>952</v>
      </c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517</v>
      </c>
      <c r="B26" s="151" t="s">
        <v>953</v>
      </c>
      <c r="C26" s="26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8" t="s">
        <v>518</v>
      </c>
      <c r="B27" s="151"/>
      <c r="C27" s="26"/>
      <c r="D27" s="73"/>
      <c r="E27" s="140"/>
      <c r="F27" s="74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5:C15"/>
    <mergeCell ref="B16:C16"/>
    <mergeCell ref="D16:F16"/>
    <mergeCell ref="B17:C17"/>
    <mergeCell ref="A18:C18"/>
    <mergeCell ref="D18:F18"/>
    <mergeCell ref="B19:C19"/>
    <mergeCell ref="B25:C25"/>
    <mergeCell ref="B26:C26"/>
    <mergeCell ref="B20:C20"/>
    <mergeCell ref="B21:C21"/>
    <mergeCell ref="D21:F21"/>
    <mergeCell ref="A22:C22"/>
    <mergeCell ref="D22:F27"/>
    <mergeCell ref="B23:C23"/>
    <mergeCell ref="A24:C24"/>
    <mergeCell ref="B27:C27"/>
  </mergeCells>
  <hyperlinks>
    <hyperlink display="&lt;== VOLTAR" location="'FACÇÕES NO GERAL'!A1" ref="D1"/>
    <hyperlink r:id="rId1" ref="B2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954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955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956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34" t="s">
        <v>475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38" t="s">
        <v>476</v>
      </c>
      <c r="B5" s="173" t="s">
        <v>957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8" t="s">
        <v>478</v>
      </c>
      <c r="B6" s="173" t="s">
        <v>958</v>
      </c>
      <c r="C6" s="74"/>
      <c r="D6" s="150">
        <v>390.0</v>
      </c>
      <c r="E6" s="150">
        <v>391.0</v>
      </c>
      <c r="F6" s="150">
        <v>392.0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480</v>
      </c>
      <c r="B7" s="151" t="s">
        <v>959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4" t="s">
        <v>489</v>
      </c>
      <c r="B8" s="25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490</v>
      </c>
      <c r="B9" s="151" t="s">
        <v>960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8" t="s">
        <v>493</v>
      </c>
      <c r="B10" s="151" t="s">
        <v>961</v>
      </c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543</v>
      </c>
      <c r="B11" s="151"/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497</v>
      </c>
      <c r="B12" s="25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46" t="s">
        <v>530</v>
      </c>
      <c r="B13" s="147" t="s">
        <v>962</v>
      </c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546</v>
      </c>
      <c r="B14" s="151"/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548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506</v>
      </c>
      <c r="B16" s="25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8" t="s">
        <v>509</v>
      </c>
      <c r="B17" s="167" t="s">
        <v>963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4" t="s">
        <v>511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514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517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518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7"/>
      <c r="B22" s="137"/>
      <c r="C22" s="137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7"/>
      <c r="B23" s="137"/>
      <c r="C23" s="137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D1:F2"/>
    <mergeCell ref="B2:C2"/>
    <mergeCell ref="B3:C3"/>
    <mergeCell ref="A4:C4"/>
    <mergeCell ref="D4:F4"/>
    <mergeCell ref="B5:C5"/>
    <mergeCell ref="B6:C6"/>
    <mergeCell ref="D6:D7"/>
    <mergeCell ref="E6:E7"/>
    <mergeCell ref="F6:F7"/>
    <mergeCell ref="B7:C7"/>
    <mergeCell ref="A8:C8"/>
    <mergeCell ref="D9:F9"/>
    <mergeCell ref="B9:C9"/>
    <mergeCell ref="B10:C10"/>
    <mergeCell ref="B11:C11"/>
    <mergeCell ref="D11:F11"/>
    <mergeCell ref="A12:C12"/>
    <mergeCell ref="B13:C13"/>
    <mergeCell ref="D13:F13"/>
    <mergeCell ref="B19:C19"/>
    <mergeCell ref="B20:C20"/>
    <mergeCell ref="D20:F20"/>
    <mergeCell ref="B21:C21"/>
    <mergeCell ref="D21:F26"/>
    <mergeCell ref="B14:C14"/>
    <mergeCell ref="B15:C15"/>
    <mergeCell ref="D15:F15"/>
    <mergeCell ref="A16:C16"/>
    <mergeCell ref="B17:C17"/>
    <mergeCell ref="D17:F17"/>
    <mergeCell ref="A18:C18"/>
  </mergeCells>
  <hyperlinks>
    <hyperlink display="&lt;== VOLTAR" location="'FACÇÕES NO GERAL'!A1" ref="D1"/>
    <hyperlink r:id="rId1" ref="B2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964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965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966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967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310.0</v>
      </c>
      <c r="E6" s="150">
        <v>311.0</v>
      </c>
      <c r="F6" s="150">
        <v>312.0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968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969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970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971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73" t="s">
        <v>971</v>
      </c>
      <c r="C12" s="74"/>
      <c r="D12" s="155" t="s">
        <v>972</v>
      </c>
      <c r="E12" s="156" t="s">
        <v>973</v>
      </c>
      <c r="F12" s="156">
        <v>12718.0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974</v>
      </c>
      <c r="C14" s="74"/>
      <c r="D14" s="155" t="s">
        <v>975</v>
      </c>
      <c r="E14" s="156" t="s">
        <v>976</v>
      </c>
      <c r="F14" s="156">
        <v>7497.0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 t="s">
        <v>977</v>
      </c>
      <c r="E16" s="156" t="s">
        <v>978</v>
      </c>
      <c r="F16" s="156">
        <v>11663.0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979</v>
      </c>
      <c r="C18" s="74"/>
      <c r="D18" s="155" t="s">
        <v>980</v>
      </c>
      <c r="E18" s="156" t="s">
        <v>981</v>
      </c>
      <c r="F18" s="156">
        <v>11662.0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982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5"/>
    <col customWidth="1" min="5" max="5" width="22.88"/>
    <col customWidth="1" min="6" max="6" width="16.25"/>
  </cols>
  <sheetData>
    <row r="1" ht="15.75" customHeight="1">
      <c r="A1" s="134" t="s">
        <v>983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984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985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986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327.0</v>
      </c>
      <c r="E6" s="150">
        <v>328.0</v>
      </c>
      <c r="F6" s="150">
        <v>329.0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987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988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989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990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991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7" t="s">
        <v>992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993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994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995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996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997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998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370.0</v>
      </c>
      <c r="E6" s="150">
        <v>371.0</v>
      </c>
      <c r="F6" s="150">
        <v>372.0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999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1000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1001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1002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1003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1004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1005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0.38"/>
  </cols>
  <sheetData>
    <row r="1" ht="15.75" customHeight="1">
      <c r="A1" s="134" t="s">
        <v>1006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39" t="s">
        <v>1007</v>
      </c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1008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/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360.0</v>
      </c>
      <c r="E6" s="150">
        <v>361.0</v>
      </c>
      <c r="F6" s="150">
        <v>362.0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1009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1010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7" t="s">
        <v>1011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/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1012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1013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1014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1015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1.13"/>
  </cols>
  <sheetData>
    <row r="1" ht="15.75" customHeight="1">
      <c r="A1" s="134" t="s">
        <v>1016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1017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1018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34" t="s">
        <v>475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38" t="s">
        <v>476</v>
      </c>
      <c r="B5" s="167" t="s">
        <v>1019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8" t="s">
        <v>478</v>
      </c>
      <c r="B6" s="167" t="s">
        <v>1020</v>
      </c>
      <c r="C6" s="74"/>
      <c r="D6" s="150">
        <v>220.0</v>
      </c>
      <c r="E6" s="150">
        <v>221.0</v>
      </c>
      <c r="F6" s="150">
        <v>223.0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480</v>
      </c>
      <c r="B7" s="167" t="s">
        <v>1021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4" t="s">
        <v>489</v>
      </c>
      <c r="B8" s="25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490</v>
      </c>
      <c r="B9" s="151" t="s">
        <v>1022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8" t="s">
        <v>493</v>
      </c>
      <c r="B10" s="167" t="s">
        <v>1023</v>
      </c>
      <c r="C10" s="74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543</v>
      </c>
      <c r="B11" s="167"/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497</v>
      </c>
      <c r="B12" s="25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46" t="s">
        <v>530</v>
      </c>
      <c r="B13" s="167" t="s">
        <v>1024</v>
      </c>
      <c r="C13" s="74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546</v>
      </c>
      <c r="B14" s="151"/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548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506</v>
      </c>
      <c r="B16" s="25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8" t="s">
        <v>509</v>
      </c>
      <c r="B17" s="167" t="s">
        <v>1025</v>
      </c>
      <c r="C17" s="74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4" t="s">
        <v>511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514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517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518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7"/>
      <c r="B22" s="137"/>
      <c r="C22" s="137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7"/>
      <c r="B23" s="137"/>
      <c r="C23" s="137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D1:F2"/>
    <mergeCell ref="B2:C2"/>
    <mergeCell ref="B3:C3"/>
    <mergeCell ref="A4:C4"/>
    <mergeCell ref="D4:F4"/>
    <mergeCell ref="B5:C5"/>
    <mergeCell ref="B6:C6"/>
    <mergeCell ref="D6:D7"/>
    <mergeCell ref="E6:E7"/>
    <mergeCell ref="F6:F7"/>
    <mergeCell ref="B7:C7"/>
    <mergeCell ref="A8:C8"/>
    <mergeCell ref="D9:F9"/>
    <mergeCell ref="B9:C9"/>
    <mergeCell ref="B10:C10"/>
    <mergeCell ref="B11:C11"/>
    <mergeCell ref="D11:F11"/>
    <mergeCell ref="A12:C12"/>
    <mergeCell ref="B13:C13"/>
    <mergeCell ref="D13:F13"/>
    <mergeCell ref="B19:C19"/>
    <mergeCell ref="B20:C20"/>
    <mergeCell ref="D20:F20"/>
    <mergeCell ref="B21:C21"/>
    <mergeCell ref="D21:F26"/>
    <mergeCell ref="B14:C14"/>
    <mergeCell ref="B15:C15"/>
    <mergeCell ref="D15:F15"/>
    <mergeCell ref="A16:C16"/>
    <mergeCell ref="B17:C17"/>
    <mergeCell ref="D17:F17"/>
    <mergeCell ref="A18:C18"/>
  </mergeCells>
  <hyperlinks>
    <hyperlink display="&lt;== VOLTAR" location="'FACÇÕES NO GERAL'!A1" ref="D1"/>
    <hyperlink r:id="rId1" ref="B2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1026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1027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1028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67" t="s">
        <v>1029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401.0</v>
      </c>
      <c r="E6" s="150">
        <v>402.0</v>
      </c>
      <c r="F6" s="150">
        <v>403.0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1030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1031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7" t="s">
        <v>1032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1033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1034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7" t="s">
        <v>1035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1036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1037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83" t="s">
        <v>518</v>
      </c>
      <c r="B26" s="184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0.5"/>
  </cols>
  <sheetData>
    <row r="1" ht="15.75" customHeight="1">
      <c r="A1" s="134" t="s">
        <v>1038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1039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1040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34" t="s">
        <v>475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38" t="s">
        <v>476</v>
      </c>
      <c r="B5" s="167" t="s">
        <v>1041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8" t="s">
        <v>478</v>
      </c>
      <c r="B6" s="167" t="s">
        <v>1042</v>
      </c>
      <c r="C6" s="74"/>
      <c r="D6" s="150">
        <v>210.0</v>
      </c>
      <c r="E6" s="150">
        <v>211.0</v>
      </c>
      <c r="F6" s="150">
        <v>212.0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480</v>
      </c>
      <c r="B7" s="167" t="s">
        <v>1043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4" t="s">
        <v>489</v>
      </c>
      <c r="B8" s="25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490</v>
      </c>
      <c r="B9" s="167" t="s">
        <v>1044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8" t="s">
        <v>493</v>
      </c>
      <c r="B10" s="167" t="s">
        <v>1045</v>
      </c>
      <c r="C10" s="74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543</v>
      </c>
      <c r="B11" s="151"/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497</v>
      </c>
      <c r="B12" s="25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46" t="s">
        <v>530</v>
      </c>
      <c r="B13" s="167" t="s">
        <v>1046</v>
      </c>
      <c r="C13" s="74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546</v>
      </c>
      <c r="B14" s="151"/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548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506</v>
      </c>
      <c r="B16" s="25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8" t="s">
        <v>509</v>
      </c>
      <c r="B17" s="151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4" t="s">
        <v>511</v>
      </c>
      <c r="B18" s="25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514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517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518</v>
      </c>
      <c r="B21" s="151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7"/>
      <c r="B22" s="137"/>
      <c r="C22" s="137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7"/>
      <c r="B23" s="137"/>
      <c r="C23" s="137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D1:F2"/>
    <mergeCell ref="B2:C2"/>
    <mergeCell ref="B3:C3"/>
    <mergeCell ref="A4:C4"/>
    <mergeCell ref="D4:F4"/>
    <mergeCell ref="B5:C5"/>
    <mergeCell ref="B6:C6"/>
    <mergeCell ref="D6:D7"/>
    <mergeCell ref="E6:E7"/>
    <mergeCell ref="F6:F7"/>
    <mergeCell ref="B7:C7"/>
    <mergeCell ref="A8:C8"/>
    <mergeCell ref="D9:F9"/>
    <mergeCell ref="B9:C9"/>
    <mergeCell ref="B10:C10"/>
    <mergeCell ref="B11:C11"/>
    <mergeCell ref="D11:F11"/>
    <mergeCell ref="A12:C12"/>
    <mergeCell ref="B13:C13"/>
    <mergeCell ref="D13:F13"/>
    <mergeCell ref="B19:C19"/>
    <mergeCell ref="B20:C20"/>
    <mergeCell ref="D20:F20"/>
    <mergeCell ref="B21:C21"/>
    <mergeCell ref="D21:F26"/>
    <mergeCell ref="B14:C14"/>
    <mergeCell ref="B15:C15"/>
    <mergeCell ref="D15:F15"/>
    <mergeCell ref="A16:C16"/>
    <mergeCell ref="B17:C17"/>
    <mergeCell ref="D17:F17"/>
    <mergeCell ref="A18:C18"/>
  </mergeCells>
  <hyperlinks>
    <hyperlink display="&lt;== VOLTAR" location="'FACÇÕES NO GERAL'!A1" ref="D1"/>
    <hyperlink r:id="rId1" ref="B2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30.25"/>
    <col customWidth="1" min="6" max="6" width="16.25"/>
  </cols>
  <sheetData>
    <row r="1" ht="15.75" customHeight="1">
      <c r="A1" s="134" t="s">
        <v>1047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1048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80" t="s">
        <v>1049</v>
      </c>
      <c r="C3" s="172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80" t="s">
        <v>1050</v>
      </c>
      <c r="C5" s="185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777.0</v>
      </c>
      <c r="E6" s="150">
        <v>778.0</v>
      </c>
      <c r="F6" s="150">
        <v>779.0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1051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1052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7" t="s">
        <v>1053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7" t="s">
        <v>1054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1055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7" t="s">
        <v>1056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1057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67" t="s">
        <v>1058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D9:F9"/>
    <mergeCell ref="D11:F11"/>
    <mergeCell ref="D13:F13"/>
    <mergeCell ref="D15:F15"/>
    <mergeCell ref="D17:F17"/>
    <mergeCell ref="D20:F20"/>
    <mergeCell ref="D21:F26"/>
    <mergeCell ref="A1:C1"/>
    <mergeCell ref="D1:F2"/>
    <mergeCell ref="A4:C4"/>
    <mergeCell ref="D4:F4"/>
    <mergeCell ref="D6:D7"/>
    <mergeCell ref="E6:E7"/>
    <mergeCell ref="F6:F7"/>
    <mergeCell ref="A6:C6"/>
    <mergeCell ref="B7:C7"/>
    <mergeCell ref="B8:C8"/>
    <mergeCell ref="B9:C9"/>
    <mergeCell ref="A10:C10"/>
    <mergeCell ref="B11:C11"/>
    <mergeCell ref="B12:C12"/>
    <mergeCell ref="B20:C20"/>
    <mergeCell ref="A21:C21"/>
    <mergeCell ref="B22:C22"/>
    <mergeCell ref="A23:C23"/>
    <mergeCell ref="B24:C24"/>
    <mergeCell ref="B25:C25"/>
    <mergeCell ref="B26:C26"/>
    <mergeCell ref="A13:C13"/>
    <mergeCell ref="B14:C14"/>
    <mergeCell ref="B15:C15"/>
    <mergeCell ref="B16:C16"/>
    <mergeCell ref="A17:C17"/>
    <mergeCell ref="B18:C18"/>
    <mergeCell ref="B19:C19"/>
  </mergeCells>
  <hyperlinks>
    <hyperlink display="&lt;== VOLTAR" location="'FACÇÕES NO GERAL'!A1" ref="D1"/>
    <hyperlink r:id="rId1" ref="B2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1059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1060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1061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34" t="s">
        <v>475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38" t="s">
        <v>476</v>
      </c>
      <c r="B5" s="167" t="s">
        <v>1062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8" t="s">
        <v>478</v>
      </c>
      <c r="B6" s="167" t="s">
        <v>1063</v>
      </c>
      <c r="C6" s="74"/>
      <c r="D6" s="150">
        <v>821.0</v>
      </c>
      <c r="E6" s="150">
        <v>823.0</v>
      </c>
      <c r="F6" s="150">
        <v>824.0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480</v>
      </c>
      <c r="B7" s="167" t="s">
        <v>1064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4" t="s">
        <v>489</v>
      </c>
      <c r="B8" s="25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490</v>
      </c>
      <c r="B9" s="167" t="s">
        <v>1065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8" t="s">
        <v>493</v>
      </c>
      <c r="B10" s="151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543</v>
      </c>
      <c r="B11" s="151"/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4" t="s">
        <v>497</v>
      </c>
      <c r="B12" s="25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46" t="s">
        <v>530</v>
      </c>
      <c r="B13" s="167" t="s">
        <v>1066</v>
      </c>
      <c r="C13" s="74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546</v>
      </c>
      <c r="B14" s="151"/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548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4" t="s">
        <v>506</v>
      </c>
      <c r="B16" s="25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8" t="s">
        <v>1067</v>
      </c>
      <c r="B17" s="151" t="s">
        <v>1068</v>
      </c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38" t="s">
        <v>509</v>
      </c>
      <c r="B18" s="151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44" t="s">
        <v>511</v>
      </c>
      <c r="B19" s="25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514</v>
      </c>
      <c r="B20" s="151"/>
      <c r="C20" s="26"/>
      <c r="D20" s="199"/>
      <c r="E20" s="199"/>
      <c r="F20" s="199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8" t="s">
        <v>517</v>
      </c>
      <c r="B21" s="151"/>
      <c r="C21" s="26"/>
      <c r="D21" s="134" t="s">
        <v>512</v>
      </c>
      <c r="E21" s="25"/>
      <c r="F21" s="26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518</v>
      </c>
      <c r="B22" s="151"/>
      <c r="C22" s="26"/>
      <c r="D22" s="165"/>
      <c r="E22" s="136"/>
      <c r="F22" s="70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37"/>
      <c r="B23" s="137"/>
      <c r="C23" s="137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7"/>
      <c r="B24" s="137"/>
      <c r="C24" s="137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7"/>
      <c r="B25" s="137"/>
      <c r="C25" s="137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7"/>
      <c r="B26" s="137"/>
      <c r="C26" s="137"/>
      <c r="D26" s="66"/>
      <c r="F26" s="158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73"/>
      <c r="E27" s="140"/>
      <c r="F27" s="74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C1"/>
    <mergeCell ref="D1:F2"/>
    <mergeCell ref="B2:C2"/>
    <mergeCell ref="B3:C3"/>
    <mergeCell ref="A4:C4"/>
    <mergeCell ref="D4:F4"/>
    <mergeCell ref="B5:C5"/>
    <mergeCell ref="B6:C6"/>
    <mergeCell ref="D6:D7"/>
    <mergeCell ref="E6:E7"/>
    <mergeCell ref="F6:F7"/>
    <mergeCell ref="B7:C7"/>
    <mergeCell ref="A8:C8"/>
    <mergeCell ref="D9:F9"/>
    <mergeCell ref="B9:C9"/>
    <mergeCell ref="B10:C10"/>
    <mergeCell ref="B11:C11"/>
    <mergeCell ref="D11:F11"/>
    <mergeCell ref="A12:C12"/>
    <mergeCell ref="B13:C13"/>
    <mergeCell ref="D13:F13"/>
    <mergeCell ref="A19:C19"/>
    <mergeCell ref="B20:C20"/>
    <mergeCell ref="B21:C21"/>
    <mergeCell ref="D21:F21"/>
    <mergeCell ref="B22:C22"/>
    <mergeCell ref="D22:F27"/>
    <mergeCell ref="B14:C14"/>
    <mergeCell ref="B15:C15"/>
    <mergeCell ref="D15:F15"/>
    <mergeCell ref="A16:C16"/>
    <mergeCell ref="B17:C17"/>
    <mergeCell ref="D17:F17"/>
    <mergeCell ref="B18:C18"/>
  </mergeCells>
  <hyperlinks>
    <hyperlink display="&lt;== VOLTAR" location="'FACÇÕES NO GERAL'!A1" ref="D1"/>
    <hyperlink r:id="rId1" ref="B2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1069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97" t="s">
        <v>1070</v>
      </c>
      <c r="C2" s="74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67" t="s">
        <v>1071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80" t="s">
        <v>1072</v>
      </c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840.0</v>
      </c>
      <c r="E6" s="150">
        <v>841.0</v>
      </c>
      <c r="F6" s="150">
        <v>842.0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1073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1074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7" t="s">
        <v>1075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80" t="s">
        <v>1076</v>
      </c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1077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67" t="s">
        <v>1078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67" t="s">
        <v>1079</v>
      </c>
      <c r="C16" s="74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67" t="s">
        <v>1080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1081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1082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1083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7" t="s">
        <v>1084</v>
      </c>
      <c r="C3" s="172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7" t="s">
        <v>1085</v>
      </c>
      <c r="C5" s="185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950.0</v>
      </c>
      <c r="E6" s="150">
        <v>951.0</v>
      </c>
      <c r="F6" s="150">
        <v>952.0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7" t="s">
        <v>1086</v>
      </c>
      <c r="C7" s="172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7" t="s">
        <v>1087</v>
      </c>
      <c r="C8" s="172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7" t="s">
        <v>1088</v>
      </c>
      <c r="C9" s="172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80" t="s">
        <v>1089</v>
      </c>
      <c r="C11" s="172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7" t="s">
        <v>1090</v>
      </c>
      <c r="C14" s="172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7" t="s">
        <v>1091</v>
      </c>
      <c r="C15" s="172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7" t="s">
        <v>1092</v>
      </c>
      <c r="C18" s="185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 t="s">
        <v>1093</v>
      </c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6:F7"/>
    <mergeCell ref="D9:F9"/>
    <mergeCell ref="A1:C1"/>
    <mergeCell ref="D1:F2"/>
    <mergeCell ref="A4:C4"/>
    <mergeCell ref="D4:F4"/>
    <mergeCell ref="A6:C6"/>
    <mergeCell ref="D6:D7"/>
    <mergeCell ref="E6:E7"/>
    <mergeCell ref="A10:C10"/>
    <mergeCell ref="D11:F11"/>
    <mergeCell ref="B12:C12"/>
    <mergeCell ref="A13:C13"/>
    <mergeCell ref="D13:F13"/>
    <mergeCell ref="D15:F15"/>
    <mergeCell ref="B16:C16"/>
    <mergeCell ref="B22:C22"/>
    <mergeCell ref="A23:C23"/>
    <mergeCell ref="B24:C24"/>
    <mergeCell ref="B25:C25"/>
    <mergeCell ref="A17:C17"/>
    <mergeCell ref="D17:F17"/>
    <mergeCell ref="B19:C19"/>
    <mergeCell ref="B20:C20"/>
    <mergeCell ref="D20:F20"/>
    <mergeCell ref="A21:C21"/>
    <mergeCell ref="D21:F26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6.25"/>
  </cols>
  <sheetData>
    <row r="1" ht="15.75" customHeight="1">
      <c r="A1" s="134" t="s">
        <v>1094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1095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1096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7" t="s">
        <v>1097</v>
      </c>
      <c r="C5" s="185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970.0</v>
      </c>
      <c r="E6" s="150">
        <v>971.0</v>
      </c>
      <c r="F6" s="150">
        <v>972.0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67" t="s">
        <v>1098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67" t="s">
        <v>1099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67" t="s">
        <v>1100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67" t="s">
        <v>1101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67" t="s">
        <v>1102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73" t="s">
        <v>1103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73" t="s">
        <v>1104</v>
      </c>
      <c r="C16" s="74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1105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73" t="s">
        <v>1106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1107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E6:E7"/>
    <mergeCell ref="F6:F7"/>
    <mergeCell ref="D9:F9"/>
    <mergeCell ref="D11:F11"/>
    <mergeCell ref="D13:F13"/>
    <mergeCell ref="A1:C1"/>
    <mergeCell ref="D1:F2"/>
    <mergeCell ref="B3:C3"/>
    <mergeCell ref="A4:C4"/>
    <mergeCell ref="D4:F4"/>
    <mergeCell ref="A6:C6"/>
    <mergeCell ref="D6:D7"/>
    <mergeCell ref="B7:C7"/>
    <mergeCell ref="B8:C8"/>
    <mergeCell ref="B9:C9"/>
    <mergeCell ref="A10:C10"/>
    <mergeCell ref="B11:C11"/>
    <mergeCell ref="B12:C12"/>
    <mergeCell ref="A13:C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  <hyperlink r:id="rId1" ref="B2"/>
  </hyperlin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0.75"/>
  </cols>
  <sheetData>
    <row r="1" ht="15.75" customHeight="1">
      <c r="A1" s="134" t="s">
        <v>1108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1109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7" t="s">
        <v>1110</v>
      </c>
      <c r="C3" s="172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/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666.0</v>
      </c>
      <c r="E6" s="150">
        <v>667.0</v>
      </c>
      <c r="F6" s="150">
        <v>668.0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1111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/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/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/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7" t="s">
        <v>1112</v>
      </c>
      <c r="C14" s="172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7" t="s">
        <v>1113</v>
      </c>
      <c r="C18" s="185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7" t="s">
        <v>1114</v>
      </c>
      <c r="C22" s="172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C1"/>
    <mergeCell ref="D1:F2"/>
    <mergeCell ref="A4:C4"/>
    <mergeCell ref="D4:F4"/>
    <mergeCell ref="B5:C5"/>
    <mergeCell ref="A6:C6"/>
    <mergeCell ref="D6:D7"/>
    <mergeCell ref="B7:C7"/>
    <mergeCell ref="B8:C8"/>
    <mergeCell ref="B9:C9"/>
    <mergeCell ref="A10:C10"/>
    <mergeCell ref="B11:C11"/>
    <mergeCell ref="B12:C12"/>
    <mergeCell ref="A13:C13"/>
    <mergeCell ref="D20:F20"/>
    <mergeCell ref="D21:F26"/>
    <mergeCell ref="E6:E7"/>
    <mergeCell ref="F6:F7"/>
    <mergeCell ref="D9:F9"/>
    <mergeCell ref="D11:F11"/>
    <mergeCell ref="D13:F13"/>
    <mergeCell ref="D15:F15"/>
    <mergeCell ref="D17:F17"/>
    <mergeCell ref="B24:C24"/>
    <mergeCell ref="B25:C25"/>
    <mergeCell ref="B26:C26"/>
    <mergeCell ref="B15:C15"/>
    <mergeCell ref="B16:C16"/>
    <mergeCell ref="A17:C17"/>
    <mergeCell ref="B19:C19"/>
    <mergeCell ref="B20:C20"/>
    <mergeCell ref="A21:C21"/>
    <mergeCell ref="A23:C23"/>
  </mergeCells>
  <hyperlinks>
    <hyperlink display="&lt;== VOLTAR" location="'FACÇÕES NO GERAL'!A1" ref="D1"/>
    <hyperlink r:id="rId1" ref="B2"/>
  </hyperlin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9.88"/>
  </cols>
  <sheetData>
    <row r="1" ht="15.75" customHeight="1">
      <c r="A1" s="134" t="s">
        <v>1115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51"/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1116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1117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780.0</v>
      </c>
      <c r="E6" s="150">
        <v>781.0</v>
      </c>
      <c r="F6" s="150">
        <v>782.0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477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7" t="s">
        <v>481</v>
      </c>
      <c r="C8" s="172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481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487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487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1118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1119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47"/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/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</hyperlin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5.63"/>
  </cols>
  <sheetData>
    <row r="1" ht="15.75" customHeight="1">
      <c r="A1" s="134" t="s">
        <v>1120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51"/>
      <c r="C2" s="26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51" t="s">
        <v>1121</v>
      </c>
      <c r="C3" s="26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47" t="s">
        <v>1122</v>
      </c>
      <c r="C5" s="26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280.0</v>
      </c>
      <c r="E6" s="150">
        <v>281.0</v>
      </c>
      <c r="F6" s="150">
        <v>282.0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51" t="s">
        <v>1123</v>
      </c>
      <c r="C7" s="26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51" t="s">
        <v>1124</v>
      </c>
      <c r="C8" s="26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51" t="s">
        <v>1125</v>
      </c>
      <c r="C9" s="26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1126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1126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51" t="s">
        <v>1127</v>
      </c>
      <c r="C14" s="26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 t="s">
        <v>1128</v>
      </c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47" t="s">
        <v>1129</v>
      </c>
      <c r="C18" s="26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51" t="s">
        <v>1130</v>
      </c>
      <c r="C22" s="26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C1"/>
    <mergeCell ref="D1:F2"/>
    <mergeCell ref="B2:C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D9:F9"/>
    <mergeCell ref="B9:C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24:C24"/>
    <mergeCell ref="B25:C25"/>
    <mergeCell ref="B19:C19"/>
    <mergeCell ref="B20:C20"/>
    <mergeCell ref="D20:F20"/>
    <mergeCell ref="A21:C21"/>
    <mergeCell ref="D21:F26"/>
    <mergeCell ref="B22:C22"/>
    <mergeCell ref="A23:C23"/>
    <mergeCell ref="B26:C26"/>
  </mergeCells>
  <hyperlinks>
    <hyperlink display="&lt;== VOLTAR" location="'FACÇÕES NO GERAL'!A1" ref="D1"/>
  </hyperlin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22.38"/>
  </cols>
  <sheetData>
    <row r="1" ht="15.75" customHeight="1">
      <c r="A1" s="134" t="s">
        <v>1131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1132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200" t="s">
        <v>1133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1134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290.0</v>
      </c>
      <c r="E6" s="150">
        <v>291.0</v>
      </c>
      <c r="F6" s="150">
        <v>292.0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1135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1136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200" t="s">
        <v>1137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51" t="s">
        <v>1138</v>
      </c>
      <c r="C11" s="26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 t="s">
        <v>1138</v>
      </c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200" t="s">
        <v>1139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200" t="s">
        <v>1140</v>
      </c>
      <c r="C15" s="74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200" t="s">
        <v>1141</v>
      </c>
      <c r="C16" s="74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200" t="s">
        <v>1142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200" t="s">
        <v>1143</v>
      </c>
      <c r="C19" s="74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1144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4.88"/>
    <col customWidth="1" min="3" max="3" width="45.63"/>
    <col customWidth="1" min="4" max="4" width="41.63"/>
    <col customWidth="1" min="5" max="5" width="22.88"/>
    <col customWidth="1" min="6" max="6" width="19.88"/>
  </cols>
  <sheetData>
    <row r="1" ht="15.75" customHeight="1">
      <c r="A1" s="134" t="s">
        <v>1145</v>
      </c>
      <c r="B1" s="25"/>
      <c r="C1" s="26"/>
      <c r="D1" s="135" t="s">
        <v>464</v>
      </c>
      <c r="E1" s="136"/>
      <c r="F1" s="70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15.75" customHeight="1">
      <c r="A2" s="138" t="s">
        <v>465</v>
      </c>
      <c r="B2" s="171" t="s">
        <v>1146</v>
      </c>
      <c r="C2" s="172"/>
      <c r="D2" s="73"/>
      <c r="E2" s="140"/>
      <c r="F2" s="74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15.75" customHeight="1">
      <c r="A3" s="138" t="s">
        <v>467</v>
      </c>
      <c r="B3" s="173" t="s">
        <v>1147</v>
      </c>
      <c r="C3" s="74"/>
      <c r="D3" s="143"/>
      <c r="E3" s="143"/>
      <c r="F3" s="143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 ht="15.75" customHeight="1">
      <c r="A4" s="144" t="s">
        <v>469</v>
      </c>
      <c r="B4" s="25"/>
      <c r="C4" s="26"/>
      <c r="D4" s="145" t="s">
        <v>311</v>
      </c>
      <c r="E4" s="25"/>
      <c r="F4" s="2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ht="15.75" customHeight="1">
      <c r="A5" s="146" t="s">
        <v>470</v>
      </c>
      <c r="B5" s="173" t="s">
        <v>1148</v>
      </c>
      <c r="C5" s="74"/>
      <c r="D5" s="148" t="s">
        <v>472</v>
      </c>
      <c r="E5" s="148" t="s">
        <v>473</v>
      </c>
      <c r="F5" s="148" t="s">
        <v>474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</row>
    <row r="6" ht="15.75" customHeight="1">
      <c r="A6" s="134" t="s">
        <v>475</v>
      </c>
      <c r="B6" s="25"/>
      <c r="C6" s="26"/>
      <c r="D6" s="150">
        <v>980.0</v>
      </c>
      <c r="E6" s="150">
        <v>981.0</v>
      </c>
      <c r="F6" s="150">
        <v>982.0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ht="15.75" customHeight="1">
      <c r="A7" s="138" t="s">
        <v>476</v>
      </c>
      <c r="B7" s="173" t="s">
        <v>1149</v>
      </c>
      <c r="C7" s="74"/>
      <c r="D7" s="7"/>
      <c r="E7" s="7"/>
      <c r="F7" s="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5.75" customHeight="1">
      <c r="A8" s="138" t="s">
        <v>478</v>
      </c>
      <c r="B8" s="173" t="s">
        <v>1150</v>
      </c>
      <c r="C8" s="74"/>
      <c r="D8" s="143"/>
      <c r="E8" s="143"/>
      <c r="F8" s="143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 ht="15.75" customHeight="1">
      <c r="A9" s="138" t="s">
        <v>480</v>
      </c>
      <c r="B9" s="173" t="s">
        <v>1151</v>
      </c>
      <c r="C9" s="74"/>
      <c r="D9" s="152" t="s">
        <v>482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 ht="15.75" customHeight="1">
      <c r="A10" s="134" t="s">
        <v>483</v>
      </c>
      <c r="B10" s="25"/>
      <c r="C10" s="26"/>
      <c r="D10" s="153" t="s">
        <v>484</v>
      </c>
      <c r="E10" s="153" t="s">
        <v>6</v>
      </c>
      <c r="F10" s="153" t="s">
        <v>485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 ht="15.75" customHeight="1">
      <c r="A11" s="138" t="s">
        <v>486</v>
      </c>
      <c r="B11" s="173" t="s">
        <v>1152</v>
      </c>
      <c r="C11" s="74"/>
      <c r="D11" s="154" t="s">
        <v>488</v>
      </c>
      <c r="E11" s="25"/>
      <c r="F11" s="26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 ht="15.75" customHeight="1">
      <c r="A12" s="138" t="s">
        <v>527</v>
      </c>
      <c r="B12" s="151"/>
      <c r="C12" s="26"/>
      <c r="D12" s="155"/>
      <c r="E12" s="156"/>
      <c r="F12" s="156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 ht="15.75" customHeight="1">
      <c r="A13" s="134" t="s">
        <v>489</v>
      </c>
      <c r="B13" s="25"/>
      <c r="C13" s="26"/>
      <c r="D13" s="154" t="s">
        <v>492</v>
      </c>
      <c r="E13" s="25"/>
      <c r="F13" s="26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ht="15.75" customHeight="1">
      <c r="A14" s="138" t="s">
        <v>490</v>
      </c>
      <c r="B14" s="173" t="s">
        <v>1153</v>
      </c>
      <c r="C14" s="74"/>
      <c r="D14" s="155"/>
      <c r="E14" s="156"/>
      <c r="F14" s="156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 ht="15.75" customHeight="1">
      <c r="A15" s="138" t="s">
        <v>493</v>
      </c>
      <c r="B15" s="151"/>
      <c r="C15" s="26"/>
      <c r="D15" s="154" t="s">
        <v>498</v>
      </c>
      <c r="E15" s="25"/>
      <c r="F15" s="26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 ht="15.75" customHeight="1">
      <c r="A16" s="138" t="s">
        <v>543</v>
      </c>
      <c r="B16" s="151"/>
      <c r="C16" s="26"/>
      <c r="D16" s="155"/>
      <c r="E16" s="156"/>
      <c r="F16" s="156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</row>
    <row r="17" ht="15.75" customHeight="1">
      <c r="A17" s="134" t="s">
        <v>497</v>
      </c>
      <c r="B17" s="25"/>
      <c r="C17" s="26"/>
      <c r="D17" s="154" t="s">
        <v>505</v>
      </c>
      <c r="E17" s="25"/>
      <c r="F17" s="26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 ht="15.75" customHeight="1">
      <c r="A18" s="146" t="s">
        <v>530</v>
      </c>
      <c r="B18" s="173" t="s">
        <v>1154</v>
      </c>
      <c r="C18" s="74"/>
      <c r="D18" s="155"/>
      <c r="E18" s="156"/>
      <c r="F18" s="156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ht="15.75" customHeight="1">
      <c r="A19" s="138" t="s">
        <v>546</v>
      </c>
      <c r="B19" s="151"/>
      <c r="C19" s="26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 ht="15.75" customHeight="1">
      <c r="A20" s="138" t="s">
        <v>548</v>
      </c>
      <c r="B20" s="151"/>
      <c r="C20" s="26"/>
      <c r="D20" s="134" t="s">
        <v>512</v>
      </c>
      <c r="E20" s="25"/>
      <c r="F20" s="2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ht="15.75" customHeight="1">
      <c r="A21" s="134" t="s">
        <v>506</v>
      </c>
      <c r="B21" s="25"/>
      <c r="C21" s="26"/>
      <c r="D21" s="165"/>
      <c r="E21" s="136"/>
      <c r="F21" s="70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 ht="15.75" customHeight="1">
      <c r="A22" s="138" t="s">
        <v>509</v>
      </c>
      <c r="B22" s="173" t="s">
        <v>1155</v>
      </c>
      <c r="C22" s="74"/>
      <c r="D22" s="66"/>
      <c r="F22" s="158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 ht="15.75" customHeight="1">
      <c r="A23" s="144" t="s">
        <v>511</v>
      </c>
      <c r="B23" s="25"/>
      <c r="C23" s="26"/>
      <c r="D23" s="66"/>
      <c r="F23" s="158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 ht="15.75" customHeight="1">
      <c r="A24" s="138" t="s">
        <v>514</v>
      </c>
      <c r="B24" s="151"/>
      <c r="C24" s="26"/>
      <c r="D24" s="66"/>
      <c r="F24" s="158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 ht="15.75" customHeight="1">
      <c r="A25" s="138" t="s">
        <v>517</v>
      </c>
      <c r="B25" s="151"/>
      <c r="C25" s="26"/>
      <c r="D25" s="66"/>
      <c r="F25" s="158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15.75" customHeight="1">
      <c r="A26" s="138" t="s">
        <v>518</v>
      </c>
      <c r="B26" s="151"/>
      <c r="C26" s="26"/>
      <c r="D26" s="73"/>
      <c r="E26" s="140"/>
      <c r="F26" s="74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 ht="15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15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 ht="15.7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 ht="15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 ht="15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ht="15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 ht="15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C1"/>
    <mergeCell ref="D1:F2"/>
    <mergeCell ref="B3:C3"/>
    <mergeCell ref="A4:C4"/>
    <mergeCell ref="D4:F4"/>
    <mergeCell ref="B5:C5"/>
    <mergeCell ref="A6:C6"/>
    <mergeCell ref="D6:D7"/>
    <mergeCell ref="E6:E7"/>
    <mergeCell ref="F6:F7"/>
    <mergeCell ref="B7:C7"/>
    <mergeCell ref="B8:C8"/>
    <mergeCell ref="B9:C9"/>
    <mergeCell ref="D9:F9"/>
    <mergeCell ref="A10:C10"/>
    <mergeCell ref="B11:C11"/>
    <mergeCell ref="D11:F11"/>
    <mergeCell ref="B12:C12"/>
    <mergeCell ref="A13:C13"/>
    <mergeCell ref="D13:F13"/>
    <mergeCell ref="B14:C14"/>
    <mergeCell ref="B15:C15"/>
    <mergeCell ref="D15:F15"/>
    <mergeCell ref="B16:C16"/>
    <mergeCell ref="A17:C17"/>
    <mergeCell ref="D17:F17"/>
    <mergeCell ref="B18:C18"/>
    <mergeCell ref="B19:C19"/>
    <mergeCell ref="B25:C25"/>
    <mergeCell ref="B26:C26"/>
    <mergeCell ref="B20:C20"/>
    <mergeCell ref="D20:F20"/>
    <mergeCell ref="A21:C21"/>
    <mergeCell ref="D21:F26"/>
    <mergeCell ref="B22:C22"/>
    <mergeCell ref="A23:C23"/>
    <mergeCell ref="B24:C24"/>
  </mergeCells>
  <hyperlinks>
    <hyperlink display="&lt;== VOLTAR" location="'FACÇÕES NO GERAL'!A1" ref="D1"/>
    <hyperlink r:id="rId1" ref="B2"/>
  </hyperlin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6" width="12.63"/>
  </cols>
  <sheetData>
    <row r="1" ht="15.75" customHeight="1">
      <c r="A1" s="201" t="s">
        <v>1156</v>
      </c>
    </row>
    <row r="2" ht="15.75" customHeight="1">
      <c r="A2" s="202" t="s">
        <v>1157</v>
      </c>
      <c r="B2" s="202" t="s">
        <v>1158</v>
      </c>
    </row>
    <row r="3" ht="15.75" customHeight="1">
      <c r="A3" s="202" t="s">
        <v>1159</v>
      </c>
      <c r="B3" s="202" t="s">
        <v>1160</v>
      </c>
    </row>
    <row r="4" ht="15.75" customHeight="1">
      <c r="A4" s="202" t="s">
        <v>1161</v>
      </c>
      <c r="B4" s="202" t="s">
        <v>1162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